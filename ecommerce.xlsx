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kakh\Downloads\"/>
    </mc:Choice>
  </mc:AlternateContent>
  <xr:revisionPtr revIDLastSave="0" documentId="13_ncr:1_{0C016D12-69D0-4F10-91B5-0C28FE9CDB13}" xr6:coauthVersionLast="47" xr6:coauthVersionMax="47" xr10:uidLastSave="{00000000-0000-0000-0000-000000000000}"/>
  <bookViews>
    <workbookView xWindow="-108" yWindow="-108" windowWidth="23256" windowHeight="12456" activeTab="1" xr2:uid="{346724B3-1C49-40AE-AA36-C77CF5D6DD09}"/>
  </bookViews>
  <sheets>
    <sheet name="Data" sheetId="1" r:id="rId1"/>
    <sheet name="Dash Board" sheetId="9" r:id="rId2"/>
    <sheet name="Sheet2" sheetId="6" r:id="rId3"/>
    <sheet name="Questions &amp; KPIs" sheetId="2" r:id="rId4"/>
  </sheets>
  <definedNames>
    <definedName name="_xlchart.v5.0" hidden="1">'Questions &amp; KPIs'!$AA$81</definedName>
    <definedName name="_xlchart.v5.1" hidden="1">'Questions &amp; KPIs'!$AA$82:$AA$139</definedName>
    <definedName name="_xlchart.v5.10" hidden="1">'Questions &amp; KPIs'!$AG$81</definedName>
    <definedName name="_xlchart.v5.11" hidden="1">'Questions &amp; KPIs'!$AG$82:$AG$139</definedName>
    <definedName name="_xlchart.v5.12" hidden="1">'Questions &amp; KPIs'!$AH$81</definedName>
    <definedName name="_xlchart.v5.13" hidden="1">'Questions &amp; KPIs'!$AH$82:$AH$139</definedName>
    <definedName name="_xlchart.v5.2" hidden="1">'Questions &amp; KPIs'!$Y$81:$Z$81</definedName>
    <definedName name="_xlchart.v5.3" hidden="1">'Questions &amp; KPIs'!$Y$82:$Z$139</definedName>
    <definedName name="_xlchart.v5.4" hidden="1">'Questions &amp; KPIs'!$AA$81</definedName>
    <definedName name="_xlchart.v5.5" hidden="1">'Questions &amp; KPIs'!$AA$82:$AA$139</definedName>
    <definedName name="_xlchart.v5.6" hidden="1">'Questions &amp; KPIs'!$Y$81:$Z$81</definedName>
    <definedName name="_xlchart.v5.7" hidden="1">'Questions &amp; KPIs'!$Y$82:$Z$139</definedName>
    <definedName name="_xlchart.v5.8" hidden="1">'Questions &amp; KPIs'!$AE$81:$AF$81</definedName>
    <definedName name="_xlchart.v5.9" hidden="1">'Questions &amp; KPIs'!$AE$82:$AF$139</definedName>
    <definedName name="Slicer_Gender_Value">#N/A</definedName>
    <definedName name="Slicer_Order_Mode">#N/A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6" l="1"/>
  <c r="L4" i="6"/>
  <c r="M4" i="6"/>
  <c r="J4" i="6"/>
  <c r="J5" i="6"/>
  <c r="K5" i="6"/>
  <c r="L5" i="6"/>
  <c r="M5" i="6"/>
  <c r="J6" i="6"/>
  <c r="K6" i="6"/>
  <c r="L6" i="6"/>
  <c r="M6" i="6"/>
  <c r="J7" i="6"/>
  <c r="K7" i="6"/>
  <c r="L7" i="6"/>
  <c r="M7" i="6"/>
  <c r="J8" i="6"/>
  <c r="K8" i="6"/>
  <c r="L8" i="6"/>
  <c r="M8" i="6"/>
  <c r="J9" i="6"/>
  <c r="K9" i="6"/>
  <c r="L9" i="6"/>
  <c r="M9" i="6"/>
  <c r="I6" i="6"/>
  <c r="I7" i="6"/>
  <c r="I8" i="6"/>
  <c r="I9" i="6"/>
  <c r="I5" i="6"/>
  <c r="S5" i="2"/>
  <c r="R5" i="2"/>
  <c r="Q5" i="2"/>
  <c r="P5" i="2"/>
  <c r="O5" i="2"/>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<sst xmlns="http://schemas.openxmlformats.org/spreadsheetml/2006/main" count="14770" uniqueCount="2544">
  <si>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</si>
  <si>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</si>
  <si>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</si>
  <si>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</si>
  <si>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</si>
  <si>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</si>
  <si>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</si>
  <si>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</si>
  <si>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</si>
  <si>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</si>
  <si>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</si>
  <si>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</si>
  <si>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</si>
  <si>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</si>
  <si>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</si>
  <si>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</si>
  <si>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</si>
  <si>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</si>
  <si>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</si>
  <si>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</si>
  <si>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</si>
  <si>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</si>
  <si>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</si>
  <si>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</si>
  <si>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</si>
  <si>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</si>
  <si>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</si>
  <si>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</si>
  <si>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</si>
  <si>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</si>
  <si>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</si>
  <si>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</si>
  <si>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</si>
  <si>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</si>
  <si>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</si>
  <si>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</si>
  <si>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</si>
  <si>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</si>
  <si>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</si>
  <si>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</si>
  <si>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</si>
  <si>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</si>
  <si>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</si>
  <si>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</si>
  <si>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</si>
  <si>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</si>
  <si>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</si>
  <si>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</si>
  <si>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</si>
  <si>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</si>
  <si>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</si>
  <si>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</si>
  <si>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</si>
  <si>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</si>
  <si>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</si>
  <si>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</si>
  <si>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</si>
  <si>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</si>
  <si>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</si>
  <si>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</si>
  <si>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</si>
  <si>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</si>
  <si>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</si>
  <si>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</si>
  <si>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</si>
  <si>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</si>
  <si>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</si>
  <si>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</si>
  <si>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</si>
  <si>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</si>
  <si>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</si>
  <si>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</si>
  <si>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</si>
  <si>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</si>
  <si>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</si>
  <si>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</si>
  <si>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</si>
  <si>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</si>
  <si>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</si>
  <si>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</si>
  <si>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</si>
  <si>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</si>
  <si>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</si>
  <si>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</si>
  <si>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</si>
  <si>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</si>
  <si>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</si>
  <si>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</si>
  <si>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</si>
  <si>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</si>
  <si>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</si>
  <si>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</si>
  <si>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</si>
  <si>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</si>
  <si>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</si>
  <si>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</si>
  <si>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</si>
  <si>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</si>
  <si>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</si>
  <si>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</si>
  <si>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</si>
  <si>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</si>
  <si>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</si>
  <si>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</si>
  <si>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</si>
  <si>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</si>
  <si>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</si>
  <si>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</si>
  <si>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</si>
  <si>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</si>
  <si>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</si>
  <si>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</si>
  <si>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</si>
  <si>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</si>
  <si>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</si>
  <si>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</si>
  <si>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</si>
  <si>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</si>
  <si>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</si>
  <si>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</si>
  <si>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</si>
  <si>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</si>
  <si>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</si>
  <si>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</si>
  <si>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</si>
  <si>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</si>
  <si>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</si>
  <si>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</si>
  <si>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</si>
  <si>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</si>
  <si>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</si>
  <si>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</si>
  <si>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</si>
  <si>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</si>
  <si>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</si>
  <si>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</si>
  <si>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</si>
  <si>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</si>
  <si>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</si>
  <si>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</si>
  <si>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</si>
  <si>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</si>
  <si>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</si>
  <si>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</si>
  <si>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</si>
  <si>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</si>
  <si>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</si>
  <si>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</si>
  <si>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</si>
  <si>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</si>
  <si>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</si>
  <si>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</si>
  <si>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</si>
  <si>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</si>
  <si>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</si>
  <si>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</si>
  <si>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</si>
  <si>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</si>
  <si>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</si>
  <si>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</si>
  <si>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</si>
  <si>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</si>
  <si>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</si>
  <si>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</si>
  <si>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</si>
  <si>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</si>
  <si>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</si>
  <si>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</si>
  <si>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</si>
  <si>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</si>
  <si>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</si>
  <si>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</si>
  <si>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</si>
  <si>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</si>
  <si>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</si>
  <si>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</si>
  <si>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</si>
  <si>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</si>
  <si>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</si>
  <si>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</si>
  <si>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</si>
  <si>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</si>
  <si>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</si>
  <si>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</si>
  <si>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</si>
  <si>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</si>
  <si>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</si>
  <si>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</si>
  <si>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</si>
  <si>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</si>
  <si>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</si>
  <si>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</si>
  <si>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</si>
  <si>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</si>
  <si>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</si>
  <si>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</si>
  <si>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</si>
  <si>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</si>
  <si>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</si>
  <si>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</si>
  <si>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</si>
  <si>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</si>
  <si>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</si>
  <si>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</si>
  <si>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</si>
  <si>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</si>
  <si>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</si>
  <si>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</si>
  <si>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</si>
  <si>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</si>
  <si>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</si>
  <si>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</si>
  <si>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</si>
  <si>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</si>
  <si>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</si>
  <si>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</si>
  <si>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</si>
  <si>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</si>
  <si>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</si>
  <si>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</si>
  <si>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</si>
  <si>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</si>
  <si>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</si>
  <si>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</si>
  <si>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</si>
  <si>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</si>
  <si>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</si>
  <si>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</si>
  <si>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</si>
  <si>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</si>
  <si>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</si>
  <si>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</si>
  <si>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</si>
  <si>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</si>
  <si>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</si>
  <si>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</si>
  <si>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</si>
  <si>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</si>
  <si>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</si>
  <si>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</si>
  <si>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</si>
  <si>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</si>
  <si>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</si>
  <si>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</si>
  <si>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</si>
  <si>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</si>
  <si>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</si>
  <si>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</si>
  <si>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</si>
  <si>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</si>
  <si>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</si>
  <si>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</si>
  <si>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</si>
  <si>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</si>
  <si>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</si>
  <si>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</si>
  <si>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</si>
  <si>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</si>
  <si>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</si>
  <si>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</si>
  <si>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</si>
  <si>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</si>
  <si>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</si>
  <si>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</si>
  <si>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</si>
  <si>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</si>
  <si>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</si>
  <si>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</si>
  <si>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</si>
  <si>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</si>
  <si>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</si>
  <si>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</si>
  <si>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</si>
  <si>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</si>
  <si>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</si>
  <si>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</si>
  <si>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</si>
  <si>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</si>
  <si>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</si>
  <si>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</si>
  <si>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</si>
  <si>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</si>
  <si>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</si>
  <si>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</si>
  <si>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</si>
  <si>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</si>
  <si>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</si>
  <si>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</si>
  <si>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</si>
  <si>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</si>
  <si>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</si>
  <si>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</si>
  <si>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</si>
  <si>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</si>
  <si>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</si>
  <si>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</si>
  <si>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</si>
  <si>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</si>
  <si>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</si>
  <si>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</si>
  <si>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</si>
  <si>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</si>
  <si>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</si>
  <si>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</si>
  <si>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</si>
  <si>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</si>
  <si>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</si>
  <si>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</si>
  <si>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</si>
  <si>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</si>
  <si>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</si>
  <si>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</si>
  <si>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</si>
  <si>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</si>
  <si>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</si>
  <si>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</si>
  <si>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</si>
  <si>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</si>
  <si>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</si>
  <si>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</si>
  <si>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</si>
  <si>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</si>
  <si>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</si>
  <si>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</si>
  <si>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</si>
  <si>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</si>
  <si>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</si>
  <si>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</si>
  <si>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</si>
  <si>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</si>
  <si>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</si>
  <si>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</si>
  <si>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</si>
  <si>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</si>
  <si>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</si>
  <si>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</si>
  <si>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</si>
  <si>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</si>
  <si>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</si>
  <si>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</si>
  <si>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</si>
  <si>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</si>
  <si>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</si>
  <si>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</si>
  <si>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</si>
  <si>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</si>
  <si>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</si>
  <si>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</si>
  <si>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</si>
  <si>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</si>
  <si>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</si>
  <si>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</si>
  <si>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</si>
  <si>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</si>
  <si>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</si>
  <si>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</si>
  <si>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</si>
  <si>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</si>
  <si>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</si>
  <si>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</si>
  <si>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</si>
  <si>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</si>
  <si>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</si>
  <si>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</si>
  <si>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</si>
  <si>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</si>
  <si>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</si>
  <si>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</si>
  <si>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</si>
  <si>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</si>
  <si>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</si>
  <si>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</si>
  <si>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</si>
  <si>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</si>
  <si>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</si>
  <si>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</si>
  <si>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</si>
  <si>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</si>
  <si>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</si>
  <si>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</si>
  <si>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</si>
  <si>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</si>
  <si>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</si>
  <si>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</si>
  <si>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</si>
  <si>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</si>
  <si>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</si>
  <si>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</si>
  <si>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</si>
  <si>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</si>
  <si>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</si>
  <si>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</si>
  <si>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</si>
  <si>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</si>
  <si>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</si>
  <si>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</si>
  <si>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</si>
  <si>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</si>
  <si>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</si>
  <si>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</si>
  <si>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</si>
  <si>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</si>
  <si>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</si>
  <si>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</si>
  <si>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</si>
  <si>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</si>
  <si>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</si>
  <si>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</si>
  <si>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</si>
  <si>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</si>
  <si>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</si>
  <si>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</si>
  <si>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</si>
  <si>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</si>
  <si>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</si>
  <si>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</si>
  <si>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</si>
  <si>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</si>
  <si>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</si>
  <si>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</si>
  <si>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</si>
  <si>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</si>
  <si>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</si>
  <si>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</si>
  <si>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</si>
  <si>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</si>
  <si>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</si>
  <si>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</si>
  <si>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</si>
  <si>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</si>
  <si>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</si>
  <si>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</si>
  <si>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</si>
  <si>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</si>
  <si>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</si>
  <si>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</si>
  <si>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</si>
  <si>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</si>
  <si>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</si>
  <si>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</si>
  <si>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</si>
  <si>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</si>
  <si>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</si>
  <si>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</si>
  <si>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</si>
  <si>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</si>
  <si>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</si>
  <si>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</si>
  <si>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</si>
  <si>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</si>
  <si>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</si>
  <si>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</si>
  <si>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</si>
  <si>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</si>
  <si>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</si>
  <si>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</si>
  <si>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</si>
  <si>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</si>
  <si>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</si>
  <si>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</si>
  <si>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</si>
  <si>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</si>
  <si>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</si>
  <si>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</si>
  <si>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</si>
  <si>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</si>
  <si>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</si>
  <si>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</si>
  <si>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</si>
  <si>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</si>
  <si>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</si>
  <si>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</si>
  <si>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</si>
  <si>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</si>
  <si>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</si>
  <si>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</si>
  <si>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</si>
  <si>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</si>
  <si>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</si>
  <si>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</si>
  <si>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</si>
  <si>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</si>
  <si>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</si>
  <si>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</si>
  <si>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</si>
  <si>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</si>
  <si>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</si>
  <si>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</si>
  <si>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</si>
  <si>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</si>
  <si>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</si>
  <si>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</si>
  <si>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</si>
  <si>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</si>
  <si>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</si>
  <si>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</si>
  <si>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</si>
  <si>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</si>
  <si>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</si>
  <si>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</si>
  <si>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</si>
  <si>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</si>
  <si>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</si>
  <si>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</si>
  <si>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</si>
  <si>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</si>
  <si>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</si>
  <si>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</si>
  <si>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</si>
  <si>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</si>
  <si>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</si>
  <si>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</si>
  <si>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</si>
  <si>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</si>
  <si>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</si>
  <si>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</si>
  <si>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</si>
  <si>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</si>
  <si>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</si>
  <si>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</si>
  <si>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</si>
  <si>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</si>
  <si>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</si>
  <si>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</si>
  <si>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</si>
  <si>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</si>
  <si>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</si>
  <si>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</si>
  <si>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</si>
  <si>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</si>
  <si>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</si>
  <si>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</si>
  <si>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</si>
  <si>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</si>
  <si>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</si>
  <si>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</si>
  <si>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</si>
  <si>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</si>
  <si>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</si>
  <si>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</si>
  <si>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</si>
  <si>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</si>
  <si>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</si>
  <si>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</si>
  <si>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</si>
  <si>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</si>
  <si>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</si>
  <si>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</si>
  <si>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</si>
  <si>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</si>
  <si>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</si>
  <si>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</si>
  <si>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</si>
  <si>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</si>
  <si>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</si>
  <si>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</si>
  <si>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</si>
  <si>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</si>
  <si>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</si>
  <si>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</si>
  <si>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</si>
  <si>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</si>
  <si>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</si>
  <si>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</si>
  <si>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</si>
  <si>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</si>
  <si>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</si>
  <si>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</si>
  <si>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</si>
  <si>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</si>
  <si>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</si>
  <si>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</si>
  <si>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</si>
  <si>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</si>
  <si>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</si>
  <si>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</si>
  <si>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</si>
  <si>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</si>
  <si>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</si>
  <si>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</si>
  <si>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</si>
  <si>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</si>
  <si>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</si>
  <si>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</si>
  <si>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</si>
  <si>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</si>
  <si>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</si>
  <si>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</si>
  <si>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</si>
  <si>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</si>
  <si>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</si>
  <si>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</si>
  <si>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</si>
  <si>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</si>
  <si>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</si>
  <si>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</si>
  <si>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</si>
  <si>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</si>
  <si>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</si>
  <si>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</si>
  <si>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</si>
  <si>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</si>
  <si>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</si>
  <si>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</si>
  <si>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</si>
  <si>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</si>
  <si>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</si>
  <si>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</si>
  <si>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</si>
  <si>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</si>
  <si>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</si>
  <si>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</si>
  <si>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</si>
  <si>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</si>
  <si>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</si>
  <si>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</si>
  <si>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</si>
  <si>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</si>
  <si>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</si>
  <si>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</si>
  <si>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</si>
  <si>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</si>
  <si>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</si>
  <si>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</si>
  <si>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</si>
  <si>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</si>
  <si>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</si>
  <si>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</si>
  <si>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</si>
  <si>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</si>
  <si>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</si>
  <si>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</si>
  <si>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</si>
  <si>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</si>
  <si>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</si>
  <si>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</si>
  <si>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</si>
  <si>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</si>
  <si>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</si>
  <si>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</si>
  <si>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</si>
  <si>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</si>
  <si>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</si>
  <si>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</si>
  <si>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</si>
  <si>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</si>
  <si>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</si>
  <si>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</si>
  <si>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</si>
  <si>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</si>
  <si>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</si>
  <si>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</si>
  <si>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</si>
  <si>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</si>
  <si>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</si>
  <si>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</si>
  <si>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</si>
  <si>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</si>
  <si>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</si>
  <si>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</si>
  <si>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</si>
  <si>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</si>
  <si>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</si>
  <si>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</si>
  <si>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</si>
  <si>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</si>
  <si>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</si>
  <si>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</si>
  <si>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</si>
  <si>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</si>
  <si>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</si>
  <si>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</si>
  <si>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</si>
  <si>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</si>
  <si>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</si>
  <si>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</si>
  <si>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</si>
  <si>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</si>
  <si>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</si>
  <si>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</si>
  <si>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</si>
  <si>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</si>
  <si>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</si>
  <si>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</si>
  <si>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</si>
  <si>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</si>
  <si>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</si>
  <si>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</si>
  <si>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</si>
  <si>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</si>
  <si>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</si>
  <si>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</si>
  <si>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</si>
  <si>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</si>
  <si>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</si>
  <si>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</si>
  <si>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</si>
  <si>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</si>
  <si>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</si>
  <si>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</si>
  <si>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</si>
  <si>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</si>
  <si>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</si>
  <si>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</si>
  <si>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</si>
  <si>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</si>
  <si>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</si>
  <si>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</si>
  <si>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</si>
  <si>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</si>
  <si>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</si>
  <si>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</si>
  <si>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</si>
  <si>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</si>
  <si>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</si>
  <si>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</si>
  <si>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</si>
  <si>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</si>
  <si>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</si>
  <si>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</si>
  <si>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</si>
  <si>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</si>
  <si>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</si>
  <si>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</si>
  <si>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</si>
  <si>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</si>
  <si>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</si>
  <si>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</si>
  <si>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</si>
  <si>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</si>
  <si>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</si>
  <si>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</si>
  <si>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</si>
  <si>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</si>
  <si>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</si>
  <si>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</si>
  <si>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</si>
  <si>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</si>
  <si>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</si>
  <si>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</si>
  <si>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</si>
  <si>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</si>
  <si>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</si>
  <si>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</si>
  <si>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</si>
  <si>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</si>
  <si>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</si>
  <si>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</si>
  <si>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</si>
  <si>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</si>
  <si>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</si>
  <si>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</si>
  <si>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</si>
  <si>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</si>
  <si>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</si>
  <si>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</si>
  <si>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</si>
  <si>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</si>
  <si>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</si>
  <si>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</si>
  <si>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</si>
  <si>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</si>
  <si>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</si>
  <si>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</si>
  <si>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</si>
  <si>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</si>
  <si>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</si>
  <si>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</si>
  <si>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</si>
  <si>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</si>
  <si>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</si>
  <si>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</si>
  <si>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</si>
  <si>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</si>
  <si>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</si>
  <si>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</si>
  <si>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</si>
  <si>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</si>
  <si>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</si>
  <si>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</si>
  <si>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</si>
  <si>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</si>
  <si>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</si>
  <si>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</si>
  <si>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</si>
  <si>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</si>
  <si>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</si>
  <si>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</si>
  <si>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</si>
  <si>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</si>
  <si>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</si>
  <si>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</si>
  <si>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</si>
  <si>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</si>
  <si>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</si>
  <si>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</si>
  <si>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</si>
  <si>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</si>
  <si>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</si>
  <si>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</si>
  <si>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</si>
  <si>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</si>
  <si>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</si>
  <si>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</si>
  <si>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</si>
  <si>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</si>
  <si>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</si>
  <si>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</si>
  <si>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</si>
  <si>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</si>
  <si>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</si>
  <si>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</si>
  <si>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</si>
  <si>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</si>
  <si>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</si>
  <si>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</si>
  <si>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</si>
  <si>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</si>
  <si>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</si>
  <si>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</si>
  <si>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</si>
  <si>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</si>
  <si>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</si>
  <si>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</si>
  <si>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</si>
  <si>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</si>
  <si>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</si>
  <si>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</si>
  <si>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</si>
  <si>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</si>
  <si>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</si>
  <si>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</si>
  <si>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</si>
  <si>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</si>
  <si>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</si>
  <si>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</si>
  <si>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</si>
  <si>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</si>
  <si>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</si>
  <si>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</si>
  <si>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</si>
  <si>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</si>
  <si>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</si>
  <si>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</si>
  <si>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</si>
  <si>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</si>
  <si>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</si>
  <si>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</si>
  <si>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</si>
  <si>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</si>
  <si>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</si>
  <si>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</si>
  <si>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</si>
  <si>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</si>
  <si>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</si>
  <si>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</si>
  <si>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</si>
  <si>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</si>
  <si>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</si>
  <si>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</si>
  <si>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</si>
  <si>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</si>
  <si>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</si>
  <si>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</si>
  <si>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</si>
  <si>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</si>
  <si>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</si>
  <si>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</si>
  <si>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</si>
  <si>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</si>
  <si>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</si>
  <si>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</si>
  <si>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</si>
  <si>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</si>
  <si>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</si>
  <si>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</si>
  <si>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</si>
  <si>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</si>
  <si>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</si>
  <si>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</si>
  <si>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</si>
  <si>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</si>
  <si>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</si>
  <si>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</si>
  <si>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</si>
  <si>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</si>
  <si>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</si>
  <si>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</si>
  <si>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</si>
  <si>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</si>
  <si>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</si>
  <si>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</si>
  <si>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</si>
  <si>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</si>
  <si>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</si>
  <si>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</si>
  <si>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</si>
  <si>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</si>
  <si>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</si>
  <si>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</si>
  <si>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</si>
  <si>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</si>
  <si>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</si>
  <si>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</si>
  <si>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</si>
  <si>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</si>
  <si>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</si>
  <si>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</si>
  <si>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</si>
  <si>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</si>
  <si>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</si>
  <si>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</si>
  <si>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</si>
  <si>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</si>
  <si>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</si>
  <si>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</si>
  <si>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</si>
  <si>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</si>
  <si>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</si>
  <si>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</si>
  <si>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</si>
  <si>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</si>
  <si>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</si>
  <si>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</si>
  <si>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</si>
  <si>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</si>
  <si>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</si>
  <si>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</si>
  <si>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</si>
  <si>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</si>
  <si>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</si>
  <si>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</si>
  <si>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</si>
  <si>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</si>
  <si>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</si>
  <si>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</si>
  <si>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</si>
  <si>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</si>
  <si>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</si>
  <si>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</si>
  <si>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</si>
  <si>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</si>
  <si>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</si>
  <si>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</si>
  <si>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</si>
  <si>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</si>
  <si>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</si>
  <si>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</si>
  <si>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</si>
  <si>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</si>
  <si>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</si>
  <si>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</si>
  <si>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</si>
  <si>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</si>
  <si>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</si>
  <si>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</si>
  <si>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</si>
  <si>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</si>
  <si>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</si>
  <si>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</si>
  <si>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</si>
  <si>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</si>
  <si>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</si>
  <si>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</si>
  <si>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</si>
  <si>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</si>
  <si>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</si>
  <si>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</si>
  <si>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</si>
  <si>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</si>
  <si>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</si>
  <si>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</si>
  <si>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</si>
  <si>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</si>
  <si>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</si>
  <si>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</si>
  <si>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</si>
  <si>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</si>
  <si>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</si>
  <si>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</si>
  <si>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</si>
  <si>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</si>
  <si>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</si>
  <si>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</si>
  <si>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</si>
  <si>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</si>
  <si>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</si>
  <si>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</si>
  <si>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</si>
  <si>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</si>
  <si>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</si>
  <si>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</si>
  <si>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</si>
  <si>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</si>
  <si>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</si>
  <si>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</si>
  <si>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</si>
  <si>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</si>
  <si>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</si>
  <si>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</si>
  <si>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</si>
  <si>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</si>
  <si>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</si>
  <si>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</si>
  <si>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</si>
  <si>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</si>
  <si>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</si>
  <si>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</si>
  <si>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</si>
  <si>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</si>
  <si>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</si>
  <si>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</si>
  <si>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</si>
  <si>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</si>
  <si>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</si>
  <si>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</si>
  <si>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</si>
  <si>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</si>
  <si>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</si>
  <si>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</si>
  <si>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</si>
  <si>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</si>
  <si>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</si>
  <si>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</si>
  <si>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</si>
  <si>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</si>
  <si>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</si>
  <si>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</si>
  <si>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</si>
  <si>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</si>
  <si>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</si>
  <si>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</si>
  <si>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</si>
  <si>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</si>
  <si>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</si>
  <si>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</si>
  <si>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</si>
  <si>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</si>
  <si>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</si>
  <si>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</si>
  <si>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</si>
  <si>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</si>
  <si>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</si>
  <si>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</si>
  <si>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</si>
  <si>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</si>
  <si>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</si>
  <si>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</si>
  <si>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</si>
  <si>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</si>
  <si>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</si>
  <si>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</si>
  <si>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</si>
  <si>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</si>
  <si>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</si>
  <si>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</si>
  <si>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</si>
  <si>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</si>
  <si>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</si>
  <si>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</si>
  <si>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</si>
  <si>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</si>
  <si>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</si>
  <si>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</si>
  <si>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</si>
  <si>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</si>
  <si>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</si>
  <si>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</si>
  <si>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</si>
  <si>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</si>
  <si>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</si>
  <si>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</si>
  <si>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</si>
  <si>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</si>
  <si>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</si>
  <si>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</si>
  <si>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</si>
  <si>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</si>
  <si>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</si>
  <si>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</si>
  <si>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</si>
  <si>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</si>
  <si>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</si>
  <si>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</si>
  <si>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</si>
  <si>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</si>
  <si>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</si>
  <si>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</si>
  <si>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</si>
  <si>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</si>
  <si>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</si>
  <si>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</si>
  <si>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</si>
  <si>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</si>
  <si>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</si>
  <si>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</si>
  <si>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</si>
  <si>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</si>
  <si>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</si>
  <si>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</si>
  <si>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</si>
  <si>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</si>
  <si>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</si>
  <si>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</si>
  <si>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</si>
  <si>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</si>
  <si>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</si>
  <si>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</si>
  <si>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</si>
  <si>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</si>
  <si>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</si>
  <si>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</si>
  <si>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</si>
  <si>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</si>
  <si>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</si>
  <si>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</si>
  <si>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</si>
  <si>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</si>
  <si>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</si>
  <si>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</si>
  <si>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</si>
  <si>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</si>
  <si>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</si>
  <si>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</si>
  <si>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</si>
  <si>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</si>
  <si>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</si>
  <si>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</si>
  <si>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</si>
  <si>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</si>
  <si>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</si>
  <si>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</si>
  <si>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</si>
  <si>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</si>
  <si>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</si>
  <si>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</si>
  <si>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</si>
  <si>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</si>
  <si>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</si>
  <si>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</si>
  <si>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</si>
  <si>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</si>
  <si>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</si>
  <si>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</si>
  <si>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</si>
  <si>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</si>
  <si>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</si>
  <si>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</si>
  <si>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</si>
  <si>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</si>
  <si>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</si>
  <si>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</si>
  <si>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</si>
  <si>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</si>
  <si>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</si>
  <si>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</si>
  <si>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</si>
  <si>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</si>
  <si>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</si>
  <si>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</si>
  <si>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</si>
  <si>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</si>
  <si>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</si>
  <si>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</si>
  <si>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</si>
  <si>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</si>
  <si>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</si>
  <si>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</si>
  <si>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</si>
  <si>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</si>
  <si>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</si>
  <si>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</si>
  <si>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</si>
  <si>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</si>
  <si>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</si>
  <si>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</si>
  <si>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</si>
  <si>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</si>
  <si>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</si>
  <si>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</si>
  <si>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</si>
  <si>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</si>
  <si>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</si>
  <si>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</si>
  <si>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</si>
  <si>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</si>
  <si>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</si>
  <si>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</si>
  <si>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</si>
  <si>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</si>
  <si>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</si>
  <si>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</si>
  <si>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</si>
  <si>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</si>
  <si>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</si>
  <si>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</si>
  <si>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</si>
  <si>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</si>
  <si>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</si>
  <si>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</si>
  <si>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</si>
  <si>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</si>
  <si>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</si>
  <si>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</si>
  <si>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</si>
  <si>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</si>
  <si>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</si>
  <si>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</si>
  <si>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</si>
  <si>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</si>
  <si>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</si>
  <si>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</si>
  <si>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</si>
  <si>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</si>
  <si>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</si>
  <si>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</si>
  <si>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</si>
  <si>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</si>
  <si>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</si>
  <si>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</si>
  <si>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</si>
  <si>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</si>
  <si>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</si>
  <si>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</si>
  <si>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</si>
  <si>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</si>
  <si>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</si>
  <si>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</si>
  <si>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</si>
  <si>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</si>
  <si>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</si>
  <si>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</si>
  <si>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</si>
  <si>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</si>
  <si>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</si>
  <si>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</si>
  <si>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</si>
  <si>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</si>
  <si>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</si>
  <si>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</si>
  <si>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</si>
  <si>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</si>
  <si>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</si>
  <si>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</si>
  <si>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</si>
  <si>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</si>
  <si>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</si>
  <si>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</si>
  <si>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</si>
  <si>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</si>
  <si>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</si>
  <si>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</si>
  <si>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</si>
  <si>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</si>
  <si>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</si>
  <si>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</si>
  <si>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</si>
  <si>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</si>
  <si>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</si>
  <si>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</si>
  <si>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</si>
  <si>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</si>
  <si>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</si>
  <si>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</si>
  <si>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</si>
  <si>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</si>
  <si>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</si>
  <si>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</si>
  <si>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</si>
  <si>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</si>
  <si>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</si>
  <si>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</si>
  <si>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</si>
  <si>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</si>
  <si>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</si>
  <si>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</si>
  <si>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</si>
  <si>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</si>
  <si>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</si>
  <si>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</si>
  <si>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</si>
  <si>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</si>
  <si>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</si>
  <si>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</si>
  <si>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</si>
  <si>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</si>
  <si>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</si>
  <si>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</si>
  <si>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</si>
  <si>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</si>
  <si>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</si>
  <si>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</si>
  <si>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</si>
  <si>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</si>
  <si>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</si>
  <si>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</si>
  <si>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</si>
  <si>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</si>
  <si>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</si>
  <si>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</si>
  <si>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</si>
  <si>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</si>
  <si>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</si>
  <si>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</si>
  <si>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</si>
  <si>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</si>
  <si>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</si>
  <si>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</si>
  <si>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</si>
  <si>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</si>
  <si>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</si>
  <si>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</si>
  <si>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</si>
  <si>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</si>
  <si>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</si>
  <si>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</si>
  <si>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</si>
  <si>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</si>
  <si>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</si>
  <si>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</si>
  <si>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</si>
  <si>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</si>
  <si>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</si>
  <si>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</si>
  <si>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</si>
  <si>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</si>
  <si>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</si>
  <si>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</si>
  <si>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</si>
  <si>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</si>
  <si>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</si>
  <si>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</si>
  <si>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</si>
  <si>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</si>
  <si>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</si>
  <si>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</si>
  <si>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</si>
  <si>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</si>
  <si>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</si>
  <si>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</si>
  <si>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</si>
  <si>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</si>
  <si>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</si>
  <si>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</si>
  <si>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</si>
  <si>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</si>
  <si>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</si>
  <si>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</si>
  <si>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</si>
  <si>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</si>
  <si>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</si>
  <si>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</si>
  <si>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</si>
  <si>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</si>
  <si>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</si>
  <si>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</si>
  <si>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</si>
  <si>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</si>
  <si>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</si>
  <si>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</si>
  <si>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</si>
  <si>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</si>
  <si>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</si>
  <si>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</si>
  <si>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</si>
  <si>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</si>
  <si>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</si>
  <si>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</si>
  <si>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</si>
  <si>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</si>
  <si>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</si>
  <si>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</si>
  <si>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</si>
  <si>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</si>
  <si>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</si>
  <si>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</si>
  <si>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</si>
  <si>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</si>
  <si>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</si>
  <si>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</si>
  <si>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</si>
  <si>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</si>
  <si>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</si>
  <si>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</si>
  <si>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</si>
  <si>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</si>
  <si>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</si>
  <si>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</si>
  <si>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</si>
  <si>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</si>
  <si>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</si>
  <si>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</si>
  <si>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</si>
  <si>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</si>
  <si>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</si>
  <si>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</si>
  <si>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</si>
  <si>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</si>
  <si>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</si>
  <si>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</si>
  <si>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</si>
  <si>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</si>
  <si>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</si>
  <si>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</si>
  <si>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</si>
  <si>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</si>
  <si>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</si>
  <si>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</si>
  <si>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</si>
  <si>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</si>
  <si>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</si>
  <si>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</si>
  <si>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</si>
  <si>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</si>
  <si>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</si>
  <si>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</si>
  <si>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</si>
  <si>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</si>
  <si>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</si>
  <si>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</si>
  <si>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</si>
  <si>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</si>
  <si>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</si>
  <si>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</si>
  <si>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</si>
  <si>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</si>
  <si>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</si>
  <si>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</si>
  <si>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</si>
  <si>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</si>
  <si>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</si>
  <si>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</si>
  <si>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</si>
  <si>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</si>
  <si>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</si>
  <si>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</si>
  <si>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</si>
  <si>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</si>
  <si>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</si>
  <si>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</si>
  <si>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</si>
  <si>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</si>
  <si>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</si>
  <si>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</si>
  <si>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</si>
  <si>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</si>
  <si>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</si>
  <si>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</si>
  <si>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</si>
  <si>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</si>
  <si>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</si>
  <si>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</si>
  <si>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</si>
  <si>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</si>
  <si>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</si>
  <si>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</si>
  <si>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</si>
  <si>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</si>
  <si>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</si>
  <si>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</si>
  <si>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</si>
  <si>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</si>
  <si>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</si>
  <si>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</si>
  <si>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</si>
  <si>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</si>
  <si>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</si>
  <si>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</si>
  <si>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</si>
  <si>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</si>
  <si>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</si>
  <si>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</si>
  <si>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</si>
  <si>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</si>
  <si>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</si>
  <si>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</si>
  <si>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</si>
  <si>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</si>
  <si>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</si>
  <si>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</si>
  <si>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</si>
  <si>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</si>
  <si>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</si>
  <si>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</si>
  <si>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</si>
  <si>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</si>
  <si>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</si>
  <si>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</si>
  <si>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</si>
  <si>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</si>
  <si>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</si>
  <si>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</si>
  <si>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</si>
  <si>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</si>
  <si>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</si>
  <si>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</si>
  <si>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</si>
  <si>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</si>
  <si>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</si>
  <si>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</si>
  <si>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</si>
  <si>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</si>
  <si>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</si>
  <si>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</si>
  <si>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</si>
  <si>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</si>
  <si>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</si>
  <si>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</si>
  <si>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</si>
  <si>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</si>
  <si>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</si>
  <si>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</si>
  <si>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</si>
  <si>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</si>
  <si>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</si>
  <si>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</si>
  <si>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</si>
  <si>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</si>
  <si>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</si>
  <si>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</si>
  <si>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</si>
  <si>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</si>
  <si>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</si>
  <si>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</si>
  <si>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</si>
  <si>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</si>
  <si>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</si>
  <si>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</si>
  <si>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</si>
  <si>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</si>
  <si>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</si>
  <si>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</si>
  <si>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</si>
  <si>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</si>
  <si>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</si>
  <si>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</si>
  <si>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</si>
  <si>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</si>
  <si>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</si>
  <si>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</si>
  <si>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</si>
  <si>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</si>
  <si>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</si>
  <si>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</si>
  <si>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</si>
  <si>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</si>
  <si>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</si>
  <si>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</si>
  <si>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</si>
  <si>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</si>
  <si>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</si>
  <si>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</si>
  <si>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</si>
  <si>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</si>
  <si>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</si>
  <si>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</si>
  <si>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</si>
  <si>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</si>
  <si>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</si>
  <si>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</si>
  <si>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</si>
  <si>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</si>
  <si>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</si>
  <si>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</si>
  <si>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</si>
  <si>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</si>
  <si>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</si>
  <si>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</si>
  <si>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</si>
  <si>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</si>
  <si>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</si>
  <si>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</si>
  <si>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</si>
  <si>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</si>
  <si>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</si>
  <si>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</si>
  <si>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</si>
  <si>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</si>
  <si>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</si>
  <si>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</si>
  <si>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</si>
  <si>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</si>
  <si>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</si>
  <si>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</si>
  <si>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</si>
  <si>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</si>
  <si>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</si>
  <si>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</si>
  <si>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</si>
  <si>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</si>
  <si>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</si>
  <si>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</si>
  <si>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</si>
  <si>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</si>
  <si>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</si>
  <si>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</si>
  <si>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</si>
  <si>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</si>
  <si>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</si>
  <si>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</si>
  <si>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</si>
  <si>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</si>
  <si>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</si>
  <si>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</si>
  <si>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</si>
  <si>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</si>
  <si>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</si>
  <si>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</si>
  <si>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</si>
  <si>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</si>
  <si>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</si>
  <si>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</si>
  <si>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</si>
  <si>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</si>
  <si>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</si>
  <si>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</si>
  <si>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</si>
  <si>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</si>
  <si>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</si>
  <si>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</si>
  <si>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</si>
  <si>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</si>
  <si>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</si>
  <si>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</si>
  <si>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</si>
  <si>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</si>
  <si>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</si>
  <si>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</si>
  <si>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</si>
  <si>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</si>
  <si>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</si>
  <si>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</si>
  <si>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</si>
  <si>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</si>
  <si>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</si>
  <si>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</si>
  <si>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</si>
  <si>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</si>
  <si>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</si>
  <si>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</si>
  <si>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</si>
  <si>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</si>
  <si>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</si>
  <si>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</si>
  <si>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</si>
  <si>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</si>
  <si>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</si>
  <si>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</si>
  <si>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</si>
  <si>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</si>
  <si>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</si>
  <si>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</si>
  <si>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</si>
  <si>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</si>
  <si>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</si>
  <si>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</si>
  <si>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</si>
  <si>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</si>
  <si>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</si>
  <si>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</si>
  <si>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</si>
  <si>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</si>
  <si>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</si>
  <si>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</si>
  <si>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</si>
  <si>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</si>
  <si>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</si>
  <si>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</si>
  <si>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</si>
  <si>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</si>
  <si>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</si>
  <si>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</si>
  <si>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</si>
  <si>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</si>
  <si>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</si>
  <si>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</si>
  <si>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</si>
  <si>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</si>
  <si>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</si>
  <si>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</si>
  <si>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</si>
  <si>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</si>
  <si>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</si>
  <si>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</si>
  <si>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</si>
  <si>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</si>
  <si>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</si>
  <si>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</si>
  <si>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</si>
  <si>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</si>
  <si>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</si>
  <si>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</si>
  <si>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</si>
  <si>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</si>
  <si>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</si>
  <si>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</si>
  <si>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</si>
  <si>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</si>
  <si>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</si>
  <si>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</si>
  <si>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</si>
  <si>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</si>
  <si>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</si>
  <si>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</si>
  <si>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</si>
  <si>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</si>
  <si>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</si>
  <si>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</si>
  <si>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</si>
  <si>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</si>
  <si>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</si>
  <si>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</si>
  <si>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</si>
  <si>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</si>
  <si>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</si>
  <si>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</si>
  <si>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</si>
  <si>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</si>
  <si>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</si>
  <si>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</si>
  <si>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</si>
  <si>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</si>
  <si>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</si>
  <si>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</si>
  <si>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</si>
  <si>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</si>
  <si>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</si>
  <si>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</si>
  <si>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</si>
  <si>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</si>
  <si>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</si>
  <si>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</si>
  <si>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</si>
  <si>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</si>
  <si>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</si>
  <si>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</si>
  <si>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</si>
  <si>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</si>
  <si>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</si>
  <si>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</si>
  <si>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</si>
  <si>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</si>
  <si>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</si>
  <si>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</si>
  <si>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</si>
  <si>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</si>
  <si>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</si>
  <si>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</si>
  <si>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</si>
  <si>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</si>
  <si>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</si>
  <si>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</si>
  <si>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</si>
  <si>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</si>
  <si>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</si>
  <si>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</si>
  <si>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</si>
  <si>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</si>
  <si>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</si>
  <si>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</si>
  <si>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</si>
  <si>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</si>
  <si>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</si>
  <si>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</si>
  <si>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</si>
  <si>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</si>
  <si>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</si>
  <si>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</si>
  <si>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</si>
  <si>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</si>
  <si>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</si>
  <si>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</si>
  <si>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</si>
  <si>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</si>
  <si>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</si>
  <si>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</si>
  <si>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</si>
  <si>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</si>
  <si>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</si>
  <si>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</si>
  <si>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</si>
  <si>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</si>
  <si>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</si>
  <si>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</si>
  <si>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</si>
  <si>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</si>
  <si>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</si>
  <si>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</si>
  <si>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</si>
  <si>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</si>
  <si>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</si>
  <si>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</si>
  <si>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</si>
  <si>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</si>
  <si>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</si>
  <si>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</si>
  <si>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</si>
  <si>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</si>
  <si>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</si>
  <si>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</si>
  <si>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</si>
  <si>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</si>
  <si>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</si>
  <si>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</si>
  <si>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</si>
  <si>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</si>
  <si>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</si>
  <si>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</si>
  <si>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</si>
  <si>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</si>
  <si>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</si>
  <si>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</si>
  <si>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</si>
  <si>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</si>
  <si>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</si>
  <si>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</si>
  <si>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</si>
  <si>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</si>
  <si>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</si>
  <si>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</si>
  <si>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</si>
  <si>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</si>
  <si>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</si>
  <si>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</si>
  <si>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</si>
  <si>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</si>
  <si>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</si>
  <si>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</si>
  <si>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</si>
  <si>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</si>
  <si>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</si>
  <si>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</si>
  <si>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</si>
  <si>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</si>
  <si>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</si>
  <si>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</si>
  <si>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</si>
  <si>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</si>
  <si>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</si>
  <si>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</si>
  <si>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</si>
  <si>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</si>
  <si>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</si>
  <si>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</si>
  <si>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</si>
  <si>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</si>
  <si>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</si>
  <si>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</si>
  <si>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</si>
  <si>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</si>
  <si>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</si>
  <si>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</si>
  <si>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</si>
  <si>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</si>
  <si>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</si>
  <si>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</si>
  <si>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</si>
  <si>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</si>
  <si>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</si>
  <si>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</si>
  <si>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</si>
  <si>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</si>
  <si>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</si>
  <si>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</si>
  <si>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</si>
  <si>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</si>
  <si>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</si>
  <si>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</si>
  <si>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</si>
  <si>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</si>
  <si>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</si>
  <si>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</si>
  <si>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</si>
  <si>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</si>
  <si>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</si>
  <si>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</si>
  <si>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</si>
  <si>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</si>
  <si>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</si>
  <si>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</si>
  <si>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</si>
  <si>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</si>
  <si>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</si>
  <si>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</si>
  <si>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</si>
  <si>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</si>
  <si>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</si>
  <si>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</si>
  <si>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</si>
  <si>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</si>
  <si>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</si>
  <si>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</si>
  <si>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</si>
  <si>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</si>
  <si>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</si>
  <si>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</si>
  <si>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</si>
  <si>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</si>
  <si>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</si>
  <si>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</si>
  <si>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</si>
  <si>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</si>
  <si>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</si>
  <si>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</si>
  <si>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</si>
  <si>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</si>
  <si>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</si>
  <si>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</si>
  <si>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</si>
  <si>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</si>
  <si>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</si>
  <si>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</si>
  <si>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</si>
  <si>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</si>
  <si>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</si>
  <si>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</si>
  <si>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</si>
  <si>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</si>
  <si>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</si>
  <si>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</si>
  <si>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</si>
  <si>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</si>
  <si>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</si>
  <si>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</si>
  <si>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</si>
  <si>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</si>
  <si>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</si>
  <si>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</si>
  <si>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</si>
  <si>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</si>
  <si>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</si>
  <si>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</si>
  <si>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</si>
  <si>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</si>
  <si>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</si>
  <si>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</si>
  <si>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</si>
  <si>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</si>
  <si>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</si>
  <si>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</si>
  <si>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</si>
  <si>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</si>
  <si>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</si>
  <si>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</si>
  <si>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</si>
  <si>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</si>
  <si>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</si>
  <si>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</si>
  <si>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</si>
  <si>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</si>
  <si>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</si>
  <si>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</si>
  <si>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</si>
  <si>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</si>
  <si>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</si>
  <si>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</si>
  <si>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</si>
  <si>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</si>
  <si>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</si>
  <si>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</si>
  <si>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</si>
  <si>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</si>
  <si>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</si>
  <si>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</si>
  <si>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</si>
  <si>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</si>
  <si>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</si>
  <si>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</si>
  <si>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</si>
  <si>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</si>
  <si>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</si>
  <si>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</si>
  <si>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</si>
  <si>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</si>
  <si>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</si>
  <si>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</si>
  <si>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</si>
  <si>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</si>
  <si>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</si>
  <si>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</si>
  <si>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</si>
  <si>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</si>
  <si>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</si>
  <si>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</si>
  <si>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</si>
  <si>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</si>
  <si>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</si>
  <si>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</si>
  <si>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</si>
  <si>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</si>
  <si>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</si>
  <si>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</si>
  <si>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</si>
  <si>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</si>
  <si>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</si>
  <si>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</si>
  <si>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</si>
  <si>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</si>
  <si>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</si>
  <si>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</si>
  <si>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</si>
  <si>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</si>
  <si>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</si>
  <si>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</si>
  <si>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</si>
  <si>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</si>
  <si>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</si>
  <si>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</si>
  <si>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</si>
  <si>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</si>
  <si>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</si>
  <si>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</si>
  <si>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</si>
  <si>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</si>
  <si>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</si>
  <si>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</si>
  <si>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</si>
  <si>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</si>
  <si>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</si>
  <si>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</si>
  <si>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</si>
  <si>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</si>
  <si>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</si>
  <si>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</si>
  <si>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</si>
  <si>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</si>
  <si>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</si>
  <si>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</si>
  <si>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</si>
  <si>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</si>
  <si>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</si>
  <si>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</si>
  <si>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</si>
  <si>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</si>
  <si>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</si>
  <si>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</si>
  <si>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</si>
  <si>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</si>
  <si>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</si>
  <si>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</si>
  <si>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</si>
  <si>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</si>
  <si>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</si>
  <si>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</si>
  <si>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</si>
  <si>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</si>
  <si>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</si>
  <si>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</si>
  <si>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</si>
  <si>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</si>
  <si>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</si>
  <si>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</si>
  <si>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</si>
  <si>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</si>
  <si>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</si>
  <si>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</si>
  <si>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</si>
  <si>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</si>
  <si>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</si>
  <si>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</si>
  <si>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</si>
  <si>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</si>
  <si>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</si>
  <si>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</si>
  <si>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</si>
  <si>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</si>
  <si>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</si>
  <si>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</si>
  <si>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</si>
  <si>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</si>
  <si>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</si>
  <si>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</si>
  <si>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</si>
  <si>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</si>
  <si>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</si>
  <si>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</si>
  <si>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</si>
  <si>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</si>
  <si>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</si>
  <si>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</si>
  <si>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</si>
  <si>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</si>
  <si>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</si>
  <si>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</si>
  <si>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</si>
  <si>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</si>
  <si>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</si>
  <si>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</si>
  <si>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</si>
  <si>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</si>
  <si>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</si>
  <si>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</si>
  <si>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</si>
  <si>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</si>
  <si>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</si>
  <si>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</si>
  <si>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</si>
  <si>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</si>
  <si>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</si>
  <si>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</si>
  <si>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</si>
  <si>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</si>
  <si>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</si>
  <si>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</si>
  <si>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</si>
  <si>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</si>
  <si>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</si>
  <si>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</si>
  <si>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</si>
  <si>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</si>
  <si>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</si>
  <si>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</si>
  <si>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</si>
  <si>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</si>
  <si>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</si>
  <si>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</si>
  <si>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</si>
  <si>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</si>
  <si>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</si>
  <si>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</si>
  <si>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</si>
  <si>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</si>
  <si>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</si>
  <si>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</si>
  <si>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</si>
  <si>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</si>
  <si>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</si>
  <si>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</si>
  <si>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</si>
  <si>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</si>
  <si>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</si>
  <si>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</si>
  <si>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</si>
  <si>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</si>
  <si>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</si>
  <si>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</si>
  <si>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</si>
  <si>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</si>
  <si>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</si>
  <si>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</si>
  <si>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</si>
  <si>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</si>
  <si>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</si>
  <si>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</si>
  <si>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</si>
  <si>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</si>
  <si>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</si>
  <si>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</si>
  <si>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</si>
  <si>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</si>
  <si>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</si>
  <si>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</si>
  <si>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</si>
  <si>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</si>
  <si>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</si>
  <si>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</si>
  <si>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</si>
  <si>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</si>
  <si>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</si>
  <si>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</si>
  <si>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</si>
  <si>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</si>
  <si>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</si>
  <si>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</si>
  <si>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</si>
  <si>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</si>
  <si>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</si>
  <si>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</si>
  <si>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</si>
  <si>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</si>
  <si>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</si>
  <si>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</si>
  <si>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</si>
  <si>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</si>
  <si>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</si>
  <si>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</si>
  <si>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</si>
  <si>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</si>
  <si>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</si>
  <si>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</si>
  <si>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</si>
  <si>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</si>
  <si>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</si>
  <si>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</si>
  <si>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</si>
  <si>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</si>
  <si>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</si>
  <si>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</si>
  <si>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</si>
  <si>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</si>
  <si>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</si>
  <si>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</si>
  <si>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</si>
  <si>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</si>
  <si>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</si>
  <si>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</si>
  <si>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</si>
  <si>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</si>
  <si>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</si>
  <si>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</si>
  <si>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</si>
  <si>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</si>
  <si>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</si>
  <si>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</si>
  <si>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</si>
  <si>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</si>
  <si>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</si>
  <si>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</si>
  <si>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</si>
  <si>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</si>
  <si>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</si>
  <si>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</si>
  <si>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</si>
  <si>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</si>
  <si>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</si>
  <si>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</si>
  <si>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</si>
  <si>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</si>
  <si>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</si>
  <si>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</si>
  <si>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</si>
  <si>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</si>
  <si>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</si>
  <si>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</si>
  <si>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</si>
  <si>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</si>
  <si>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</si>
  <si>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</si>
  <si>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</si>
  <si>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</si>
  <si>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</si>
  <si>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</si>
  <si>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</si>
  <si>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</si>
  <si>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</si>
  <si>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</si>
  <si>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</si>
  <si>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</si>
  <si>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</si>
  <si>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</si>
  <si>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</si>
  <si>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</si>
  <si>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</si>
  <si>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</si>
  <si>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</si>
  <si>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</si>
  <si>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</si>
  <si>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</si>
  <si>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</si>
  <si>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</si>
  <si>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</si>
  <si>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</si>
  <si>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</si>
  <si>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</si>
  <si>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</si>
  <si>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</si>
  <si>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</si>
  <si>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</si>
  <si>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</si>
  <si>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</si>
  <si>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</si>
  <si>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</si>
  <si>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</si>
  <si>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</si>
  <si>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</si>
  <si>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</si>
  <si>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</si>
  <si>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</si>
  <si>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</si>
  <si>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</si>
  <si>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</si>
  <si>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</si>
  <si>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</si>
  <si>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</si>
  <si>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</si>
  <si>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</si>
  <si>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</si>
  <si>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</si>
  <si>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</si>
  <si>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</si>
  <si>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</si>
  <si>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</si>
  <si>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</si>
  <si>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</si>
  <si>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</si>
  <si>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</si>
  <si>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</si>
  <si>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</si>
  <si>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</si>
  <si>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</si>
  <si>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</si>
  <si>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</si>
  <si>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</si>
  <si>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</si>
  <si>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</si>
  <si>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</si>
  <si>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</si>
  <si>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</si>
  <si>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</si>
  <si>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</si>
  <si>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</si>
  <si>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</si>
  <si>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</si>
  <si>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</si>
  <si>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</si>
  <si>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</si>
  <si>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</si>
  <si>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</si>
  <si>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</si>
  <si>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</si>
  <si>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</si>
  <si>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</si>
  <si>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</si>
  <si>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</si>
  <si>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</si>
  <si>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</si>
  <si>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</si>
  <si>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</si>
  <si>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</si>
  <si>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</si>
  <si>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</si>
  <si>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</si>
  <si>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</si>
  <si>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</si>
  <si>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</si>
  <si>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</si>
  <si>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</si>
  <si>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</si>
  <si>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</si>
  <si>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</si>
  <si>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</si>
  <si>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</si>
  <si>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</si>
  <si>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</si>
  <si>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</si>
  <si>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</si>
  <si>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</si>
  <si>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</si>
  <si>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</si>
  <si>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</si>
  <si>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</si>
  <si>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</si>
  <si>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</si>
  <si>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</si>
  <si>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</si>
  <si>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</si>
  <si>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</si>
  <si>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</si>
  <si>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</si>
  <si>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</si>
  <si>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</si>
  <si>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</si>
  <si>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</si>
  <si>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</si>
  <si>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</si>
  <si>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</si>
  <si>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</si>
  <si>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</si>
  <si>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</si>
  <si>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</si>
  <si>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</si>
  <si>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</si>
  <si>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</si>
  <si>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</si>
  <si>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</si>
  <si>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</si>
  <si>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</si>
  <si>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</si>
  <si>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</si>
  <si>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</si>
  <si>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</si>
  <si>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</si>
  <si>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</si>
  <si>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</si>
  <si>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</si>
  <si>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</si>
  <si>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</si>
  <si>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</si>
  <si>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</si>
  <si>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</si>
  <si>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</si>
  <si>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</si>
  <si>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</si>
  <si>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</si>
  <si>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</si>
  <si>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</si>
  <si>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</si>
  <si>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</si>
  <si>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</si>
  <si>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</si>
  <si>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</si>
  <si>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</si>
  <si>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</si>
  <si>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</si>
  <si>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</si>
  <si>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</si>
  <si>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</si>
  <si>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</si>
  <si>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</si>
  <si>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</si>
  <si>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</si>
  <si>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</si>
  <si>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</si>
  <si>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</si>
  <si>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</si>
  <si>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</si>
  <si>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</si>
  <si>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</si>
  <si>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</si>
  <si>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</si>
  <si>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</si>
  <si>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</si>
  <si>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</si>
  <si>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</si>
  <si>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</si>
  <si>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</si>
  <si>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</si>
  <si>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</si>
  <si>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</si>
  <si>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</si>
  <si>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</si>
  <si>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</si>
  <si>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</si>
  <si>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</si>
  <si>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</si>
  <si>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</si>
  <si>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</si>
  <si>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</si>
  <si>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</si>
  <si>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</si>
  <si>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</si>
  <si>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</si>
  <si>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</si>
  <si>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</si>
  <si>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</si>
  <si>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</si>
  <si>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</si>
  <si>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</si>
  <si>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</si>
  <si>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</si>
  <si>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</si>
  <si>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</si>
  <si>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</si>
  <si>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</si>
  <si>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</si>
  <si>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</si>
  <si>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</si>
  <si>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</si>
  <si>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</si>
  <si>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</si>
  <si>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</si>
  <si>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</si>
  <si>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</si>
  <si>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</si>
  <si>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</si>
  <si>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</si>
  <si>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</si>
  <si>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</si>
  <si>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</si>
  <si>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</si>
  <si>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</si>
  <si>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</si>
  <si>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</si>
  <si>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</si>
  <si>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</si>
  <si>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</si>
  <si>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</si>
  <si>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</si>
  <si>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</si>
  <si>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</si>
  <si>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</si>
  <si>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</si>
  <si>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</si>
  <si>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</si>
  <si>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</si>
  <si>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</si>
  <si>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</si>
  <si>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</si>
  <si>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</si>
  <si>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</si>
  <si>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</si>
  <si>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</si>
  <si>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</si>
  <si>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</si>
  <si>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</si>
  <si>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</si>
  <si>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</si>
  <si>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</si>
  <si>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</si>
  <si>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</si>
  <si>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</si>
  <si>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</si>
  <si>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</si>
  <si>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</si>
  <si>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</si>
  <si>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</si>
  <si>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</si>
  <si>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</si>
  <si>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</si>
  <si>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</si>
  <si>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</si>
  <si>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</si>
  <si>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</si>
  <si>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</si>
  <si>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</si>
  <si>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</si>
  <si>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</si>
  <si>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</si>
  <si>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</si>
  <si>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</si>
  <si>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</si>
  <si>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</si>
  <si>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</si>
  <si>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</si>
  <si>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</si>
  <si>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</si>
  <si>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</si>
  <si>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</si>
  <si>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</si>
  <si>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</si>
  <si>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</si>
  <si>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</si>
  <si>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</si>
  <si>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</si>
  <si>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ordes</t>
  </si>
  <si>
    <t>amount</t>
  </si>
  <si>
    <t>qnty</t>
  </si>
  <si>
    <t>avg days</t>
  </si>
  <si>
    <t>avg rating</t>
  </si>
  <si>
    <t>Row Labels</t>
  </si>
  <si>
    <t>Grand Total</t>
  </si>
  <si>
    <t>Column Labels</t>
  </si>
  <si>
    <t>Female</t>
  </si>
  <si>
    <t>Male</t>
  </si>
  <si>
    <t>Other</t>
  </si>
  <si>
    <t>Unknown</t>
  </si>
  <si>
    <t>For Matrix</t>
  </si>
  <si>
    <t>6 to 10</t>
  </si>
  <si>
    <t>more than 10</t>
  </si>
  <si>
    <t>Map Chart Stuff Qty</t>
  </si>
  <si>
    <t>Map Chart Stuff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</si>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</sst>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ck">
        <color theme="0"/>
      </left>
      <right style="double">
        <color theme="0"/>
      </right>
      <top style="thick">
        <color theme="0"/>
      </top>
      <bottom style="double">
        <color theme="0"/>
      </bottom>
      <diagonal/>
    </border>
    <border>
      <left style="double">
        <color theme="0"/>
      </left>
      <right style="double">
        <color theme="0"/>
      </right>
      <top style="thick">
        <color theme="0"/>
      </top>
      <bottom style="double">
        <color theme="0"/>
      </bottom>
      <diagonal/>
    </border>
    <border>
      <left style="double">
        <color theme="0"/>
      </left>
      <right style="thick">
        <color theme="0"/>
      </right>
      <top style="thick">
        <color theme="0"/>
      </top>
      <bottom style="double">
        <color theme="0"/>
      </bottom>
      <diagonal/>
    </border>
    <border>
      <left style="thick">
        <color theme="0"/>
      </left>
      <right style="double">
        <color theme="0"/>
      </right>
      <top style="double">
        <color theme="0"/>
      </top>
      <bottom style="double">
        <color theme="0"/>
      </bottom>
      <diagonal/>
    </border>
    <border>
      <left style="double">
        <color theme="0"/>
      </left>
      <right style="double">
        <color theme="0"/>
      </right>
      <top style="double">
        <color theme="0"/>
      </top>
      <bottom style="double">
        <color theme="0"/>
      </bottom>
      <diagonal/>
    </border>
    <border>
      <left style="double">
        <color theme="0"/>
      </left>
      <right style="thick">
        <color theme="0"/>
      </right>
      <top style="double">
        <color theme="0"/>
      </top>
      <bottom style="double">
        <color theme="0"/>
      </bottom>
      <diagonal/>
    </border>
    <border>
      <left style="thick">
        <color theme="0"/>
      </left>
      <right style="double">
        <color theme="0"/>
      </right>
      <top style="double">
        <color theme="0"/>
      </top>
      <bottom style="thick">
        <color theme="0"/>
      </bottom>
      <diagonal/>
    </border>
    <border>
      <left style="double">
        <color theme="0"/>
      </left>
      <right style="double">
        <color theme="0"/>
      </right>
      <top style="double">
        <color theme="0"/>
      </top>
      <bottom style="thick">
        <color theme="0"/>
      </bottom>
      <diagonal/>
    </border>
    <border>
      <left style="double">
        <color theme="0"/>
      </left>
      <right style="thick">
        <color theme="0"/>
      </right>
      <top style="double">
        <color theme="0"/>
      </top>
      <bottom style="thick">
        <color theme="0"/>
      </bottom>
      <diagonal/>
    </border>
  </borders>
  <cellStyleXfs count="1">
    <xf numFmtId="0" fontId="0" fillId="0" borderId="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165" fontId="0" fillId="0" borderId="6" xfId="0" applyNumberFormat="1" applyBorder="1"/>
    <xf numFmtId="165" fontId="0" fillId="0" borderId="7" xfId="0" applyNumberFormat="1" applyBorder="1"/>
    <xf numFmtId="0" fontId="0" fillId="0" borderId="8" xfId="0" applyBorder="1"/>
    <xf numFmtId="165" fontId="0" fillId="0" borderId="9" xfId="0" applyNumberFormat="1" applyBorder="1"/>
    <xf numFmtId="165" fontId="0" fillId="0" borderId="10" xfId="0" applyNumberFormat="1" applyBorder="1"/>
    <xf numFmtId="0" fontId="1" fillId="0" borderId="0" xfId="0" applyFont="1"/>
    <xf numFmtId="0" fontId="1" fillId="0" borderId="1" xfId="0" applyFont="1" applyBorder="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[ecommerce-blank.xlsx]Questions &amp; KPIs!pvt table qnty amnt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a:t>
            </a:r>
            <a:r>
              <a:rPr lang="en-IN" b="1" baseline="0"/>
              <a:t> 13 week trends-Qty &amp; Amount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'Questions &amp; KPIs'!$I$10</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'Questions &amp; KPIs'!$H$11:$H$22</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'Questions &amp; KPIs'!$I$11:$I$22</c:f>
              <c:numCache>
                <c:formatCode>General</c:formatCode>
                <c:ptCount val="11"/>
                <c:pt idx="0">
                  <c:v>13</c:v>
                </c:pt>
                <c:pt idx="1">
                  <c:v>5</c:v>
                </c:pt>
                <c:pt idx="2">
                  <c:v>28</c:v>
                </c:pt>
                <c:pt idx="3">
                  <c:v>4</c:v>
                </c:pt>
                <c:pt idx="4">
                  <c:v>2</c:v>
                </c:pt>
                <c:pt idx="5">
                  <c:v>12</c:v>
                </c:pt>
                <c:pt idx="6">
                  <c:v>15</c:v>
                </c:pt>
                <c:pt idx="7">
                  <c:v>94</c:v>
                </c:pt>
                <c:pt idx="8">
                  <c:v>2</c:v>
                </c:pt>
                <c:pt idx="9">
                  <c:v>3</c:v>
                </c:pt>
                <c:pt idx="10">
                  <c:v>8</c:v>
                </c:pt>
              </c:numCache>
            </c:numRef>
          </c:val>
          <c:smooth val="0"/>
          <c:extLst>
            <c:ext xmlns:c16="http://schemas.microsoft.com/office/drawing/2014/chart" uri="{C3380CC4-5D6E-409C-BE32-E72D297353CC}">
              <c16:uniqueId val="{00000000-B697-4855-8AEA-D4A224450768}"/>
            </c:ext>
          </c:extLst>
        </c:ser>
        <c:dLbls>
          <c:showLegendKey val="0"/>
          <c:showVal val="0"/>
          <c:showCatName val="0"/>
          <c:showSerName val="0"/>
          <c:showPercent val="0"/>
          <c:showBubbleSize val="0"/>
        </c:dLbls>
        <c:marker val="1"/>
        <c:smooth val="0"/>
        <c:axId val="2031449264"/>
        <c:axId val="2031449744"/>
      </c:lineChart>
      <c:lineChart>
        <c:grouping val="standard"/>
        <c:varyColors val="0"/>
        <c:ser>
          <c:idx val="1"/>
          <c:order val="1"/>
          <c:tx>
            <c:strRef>
              <c:f>'Questions &amp; KPIs'!$J$10</c:f>
              <c:strCache>
                <c:ptCount val="1"/>
                <c:pt idx="0">
                  <c:v>Sum of Amount</c:v>
                </c:pt>
              </c:strCache>
            </c:strRef>
          </c:tx>
          <c:spPr>
            <a:ln w="28575" cap="rnd">
              <a:solidFill>
                <a:schemeClr val="accent4"/>
              </a:solidFill>
              <a:round/>
            </a:ln>
            <a:effectLst/>
          </c:spPr>
          <c:marker>
            <c:symbol val="none"/>
          </c:marker>
          <c:cat>
            <c:strRef>
              <c:f>'Questions &amp; KPIs'!$H$11:$H$22</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'Questions &amp; KPIs'!$J$11:$J$22</c:f>
              <c:numCache>
                <c:formatCode>"₹"\ #,##0</c:formatCode>
                <c:ptCount val="11"/>
                <c:pt idx="0">
                  <c:v>799.5</c:v>
                </c:pt>
                <c:pt idx="1">
                  <c:v>262.5</c:v>
                </c:pt>
                <c:pt idx="2">
                  <c:v>758.80000000000007</c:v>
                </c:pt>
                <c:pt idx="3">
                  <c:v>266</c:v>
                </c:pt>
                <c:pt idx="4">
                  <c:v>218.6</c:v>
                </c:pt>
                <c:pt idx="5">
                  <c:v>435.79999999999995</c:v>
                </c:pt>
                <c:pt idx="6">
                  <c:v>660</c:v>
                </c:pt>
                <c:pt idx="7">
                  <c:v>7590.7</c:v>
                </c:pt>
                <c:pt idx="8">
                  <c:v>42.2</c:v>
                </c:pt>
                <c:pt idx="9">
                  <c:v>252</c:v>
                </c:pt>
                <c:pt idx="10">
                  <c:v>263.2</c:v>
                </c:pt>
              </c:numCache>
            </c:numRef>
          </c:val>
          <c:smooth val="0"/>
          <c:extLst>
            <c:ext xmlns:c16="http://schemas.microsoft.com/office/drawing/2014/chart" uri="{C3380CC4-5D6E-409C-BE32-E72D297353CC}">
              <c16:uniqueId val="{00000001-B697-4855-8AEA-D4A224450768}"/>
            </c:ext>
          </c:extLst>
        </c:ser>
        <c:dLbls>
          <c:showLegendKey val="0"/>
          <c:showVal val="0"/>
          <c:showCatName val="0"/>
          <c:showSerName val="0"/>
          <c:showPercent val="0"/>
          <c:showBubbleSize val="0"/>
        </c:dLbls>
        <c:marker val="1"/>
        <c:smooth val="0"/>
        <c:axId val="2031463184"/>
        <c:axId val="2031459824"/>
      </c:lineChart>
      <c:catAx>
        <c:axId val="20314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49744"/>
        <c:crosses val="autoZero"/>
        <c:auto val="1"/>
        <c:lblAlgn val="ctr"/>
        <c:lblOffset val="100"/>
        <c:noMultiLvlLbl val="0"/>
      </c:catAx>
      <c:valAx>
        <c:axId val="203144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49264"/>
        <c:crosses val="autoZero"/>
        <c:crossBetween val="between"/>
      </c:valAx>
      <c:valAx>
        <c:axId val="2031459824"/>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63184"/>
        <c:crosses val="max"/>
        <c:crossBetween val="between"/>
      </c:valAx>
      <c:catAx>
        <c:axId val="2031463184"/>
        <c:scaling>
          <c:orientation val="minMax"/>
        </c:scaling>
        <c:delete val="1"/>
        <c:axPos val="b"/>
        <c:numFmt formatCode="General" sourceLinked="1"/>
        <c:majorTickMark val="out"/>
        <c:minorTickMark val="none"/>
        <c:tickLblPos val="nextTo"/>
        <c:crossAx val="2031459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[ecommerce-blank.xlsx]Sheet2!Pvt table qnty2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7139107611549"/>
          <c:y val="0.19389880952380956"/>
          <c:w val="0.83546194225721782"/>
          <c:h val="0.64685859580052496"/>
        </c:manualLayout>
      </c:layout>
      <c:barChart>
        <c:barDir val="col"/>
        <c:grouping val="clustered"/>
        <c:varyColors val="0"/>
        <c:ser>
          <c:idx val="0"/>
          <c:order val="0"/>
          <c:tx>
            <c:strRef>
              <c:f>Sheet2!$I$17</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Sheet2!$H$18:$H$24</c:f>
              <c:strCache>
                <c:ptCount val="6"/>
                <c:pt idx="0">
                  <c:v>2</c:v>
                </c:pt>
                <c:pt idx="1">
                  <c:v>3</c:v>
                </c:pt>
                <c:pt idx="2">
                  <c:v>4</c:v>
                </c:pt>
                <c:pt idx="3">
                  <c:v>5</c:v>
                </c:pt>
                <c:pt idx="4">
                  <c:v>6 to 10</c:v>
                </c:pt>
                <c:pt idx="5">
                  <c:v>more than 10</c:v>
                </c:pt>
              </c:strCache>
            </c:strRef>
          </c:cat>
          <c:val>
            <c:numRef>
              <c:f>Sheet2!$I$18:$I$24</c:f>
              <c:numCache>
                <c:formatCode>General</c:formatCode>
                <c:ptCount val="6"/>
                <c:pt idx="0">
                  <c:v>5</c:v>
                </c:pt>
                <c:pt idx="1">
                  <c:v>1</c:v>
                </c:pt>
                <c:pt idx="2">
                  <c:v>1</c:v>
                </c:pt>
                <c:pt idx="3">
                  <c:v>1</c:v>
                </c:pt>
                <c:pt idx="4">
                  <c:v>5</c:v>
                </c:pt>
                <c:pt idx="5">
                  <c:v>3</c:v>
                </c:pt>
              </c:numCache>
            </c:numRef>
          </c:val>
          <c:extLst>
            <c:ext xmlns:c16="http://schemas.microsoft.com/office/drawing/2014/chart" uri="{C3380CC4-5D6E-409C-BE32-E72D297353CC}">
              <c16:uniqueId val="{00000000-BF54-4C96-A52E-AFEC5D44F31C}"/>
            </c:ext>
          </c:extLst>
        </c:ser>
        <c:dLbls>
          <c:dLblPos val="outEnd"/>
          <c:showLegendKey val="0"/>
          <c:showVal val="1"/>
          <c:showCatName val="0"/>
          <c:showSerName val="0"/>
          <c:showPercent val="0"/>
          <c:showBubbleSize val="0"/>
        </c:dLbls>
        <c:gapWidth val="8"/>
        <c:overlap val="-27"/>
        <c:axId val="1902952544"/>
        <c:axId val="1902956384"/>
      </c:barChart>
      <c:catAx>
        <c:axId val="1902952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56384"/>
        <c:crosses val="autoZero"/>
        <c:auto val="1"/>
        <c:lblAlgn val="ctr"/>
        <c:lblOffset val="100"/>
        <c:noMultiLvlLbl val="0"/>
      </c:catAx>
      <c:valAx>
        <c:axId val="190295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95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[ecommerce-blank.xlsx]Questions &amp; KPIs!pvt table prodct</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which products are popular? </a:t>
            </a:r>
          </a:p>
        </c:rich>
      </c:tx>
      <c:layout>
        <c:manualLayout>
          <c:xMode val="edge"/>
          <c:yMode val="edge"/>
          <c:x val="2.3575814789788197E-2"/>
          <c:y val="1.8077371863282402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35397406483242E-2"/>
          <c:y val="0.13431060269886624"/>
          <c:w val="0.63530774238456467"/>
          <c:h val="0.82992855616014127"/>
        </c:manualLayout>
      </c:layout>
      <c:barChart>
        <c:barDir val="bar"/>
        <c:grouping val="stacked"/>
        <c:varyColors val="0"/>
        <c:ser>
          <c:idx val="0"/>
          <c:order val="0"/>
          <c:tx>
            <c:strRef>
              <c:f>'Questions &amp; KPIs'!$M$11:$M$12</c:f>
              <c:strCache>
                <c:ptCount val="1"/>
                <c:pt idx="0">
                  <c:v>Female</c:v>
                </c:pt>
              </c:strCache>
            </c:strRef>
          </c:tx>
          <c:spPr>
            <a:solidFill>
              <a:schemeClr val="accent6"/>
            </a:solidFill>
            <a:ln>
              <a:noFill/>
            </a:ln>
            <a:effectLst/>
          </c:spPr>
          <c:invertIfNegative val="0"/>
          <c:cat>
            <c:strRef>
              <c:f>'Questions &amp; KPIs'!$L$13:$L$33</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'Questions &amp; KPIs'!$M$13:$M$33</c:f>
              <c:numCache>
                <c:formatCode>General</c:formatCode>
                <c:ptCount val="20"/>
                <c:pt idx="0">
                  <c:v>122</c:v>
                </c:pt>
                <c:pt idx="1">
                  <c:v>49</c:v>
                </c:pt>
                <c:pt idx="2">
                  <c:v>92</c:v>
                </c:pt>
                <c:pt idx="3">
                  <c:v>82</c:v>
                </c:pt>
                <c:pt idx="4">
                  <c:v>73</c:v>
                </c:pt>
                <c:pt idx="5">
                  <c:v>53</c:v>
                </c:pt>
                <c:pt idx="6">
                  <c:v>65</c:v>
                </c:pt>
                <c:pt idx="7">
                  <c:v>28</c:v>
                </c:pt>
                <c:pt idx="8">
                  <c:v>38</c:v>
                </c:pt>
                <c:pt idx="9">
                  <c:v>9</c:v>
                </c:pt>
                <c:pt idx="10">
                  <c:v>32</c:v>
                </c:pt>
                <c:pt idx="11">
                  <c:v>24</c:v>
                </c:pt>
                <c:pt idx="12">
                  <c:v>12</c:v>
                </c:pt>
                <c:pt idx="13">
                  <c:v>22</c:v>
                </c:pt>
                <c:pt idx="14">
                  <c:v>5</c:v>
                </c:pt>
                <c:pt idx="15">
                  <c:v>11</c:v>
                </c:pt>
                <c:pt idx="16">
                  <c:v>9</c:v>
                </c:pt>
                <c:pt idx="17">
                  <c:v>7</c:v>
                </c:pt>
              </c:numCache>
            </c:numRef>
          </c:val>
          <c:extLst>
            <c:ext xmlns:c16="http://schemas.microsoft.com/office/drawing/2014/chart" uri="{C3380CC4-5D6E-409C-BE32-E72D297353CC}">
              <c16:uniqueId val="{00000000-A637-4F0C-9987-ADED4ECB9A46}"/>
            </c:ext>
          </c:extLst>
        </c:ser>
        <c:ser>
          <c:idx val="1"/>
          <c:order val="1"/>
          <c:tx>
            <c:strRef>
              <c:f>'Questions &amp; KPIs'!$N$11:$N$12</c:f>
              <c:strCache>
                <c:ptCount val="1"/>
                <c:pt idx="0">
                  <c:v>Male</c:v>
                </c:pt>
              </c:strCache>
            </c:strRef>
          </c:tx>
          <c:spPr>
            <a:solidFill>
              <a:schemeClr val="accent5"/>
            </a:solidFill>
            <a:ln>
              <a:noFill/>
            </a:ln>
            <a:effectLst/>
          </c:spPr>
          <c:invertIfNegative val="0"/>
          <c:cat>
            <c:strRef>
              <c:f>'Questions &amp; KPIs'!$L$13:$L$33</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'Questions &amp; KPIs'!$N$13:$N$33</c:f>
              <c:numCache>
                <c:formatCode>General</c:formatCode>
                <c:ptCount val="20"/>
                <c:pt idx="0">
                  <c:v>82</c:v>
                </c:pt>
                <c:pt idx="1">
                  <c:v>79</c:v>
                </c:pt>
                <c:pt idx="2">
                  <c:v>38</c:v>
                </c:pt>
                <c:pt idx="3">
                  <c:v>7</c:v>
                </c:pt>
                <c:pt idx="4">
                  <c:v>22</c:v>
                </c:pt>
                <c:pt idx="5">
                  <c:v>32</c:v>
                </c:pt>
                <c:pt idx="6">
                  <c:v>17</c:v>
                </c:pt>
                <c:pt idx="7">
                  <c:v>55</c:v>
                </c:pt>
                <c:pt idx="8">
                  <c:v>33</c:v>
                </c:pt>
                <c:pt idx="9">
                  <c:v>33</c:v>
                </c:pt>
                <c:pt idx="10">
                  <c:v>10</c:v>
                </c:pt>
                <c:pt idx="11">
                  <c:v>9</c:v>
                </c:pt>
                <c:pt idx="12">
                  <c:v>19</c:v>
                </c:pt>
                <c:pt idx="13">
                  <c:v>7</c:v>
                </c:pt>
                <c:pt idx="14">
                  <c:v>20</c:v>
                </c:pt>
                <c:pt idx="15">
                  <c:v>10</c:v>
                </c:pt>
                <c:pt idx="17">
                  <c:v>3</c:v>
                </c:pt>
                <c:pt idx="18">
                  <c:v>2</c:v>
                </c:pt>
                <c:pt idx="19">
                  <c:v>1</c:v>
                </c:pt>
              </c:numCache>
            </c:numRef>
          </c:val>
          <c:extLst>
            <c:ext xmlns:c16="http://schemas.microsoft.com/office/drawing/2014/chart" uri="{C3380CC4-5D6E-409C-BE32-E72D297353CC}">
              <c16:uniqueId val="{00000001-A637-4F0C-9987-ADED4ECB9A46}"/>
            </c:ext>
          </c:extLst>
        </c:ser>
        <c:ser>
          <c:idx val="2"/>
          <c:order val="2"/>
          <c:tx>
            <c:strRef>
              <c:f>'Questions &amp; KPIs'!$O$11:$O$12</c:f>
              <c:strCache>
                <c:ptCount val="1"/>
                <c:pt idx="0">
                  <c:v>Other</c:v>
                </c:pt>
              </c:strCache>
            </c:strRef>
          </c:tx>
          <c:spPr>
            <a:solidFill>
              <a:schemeClr val="accent4"/>
            </a:solidFill>
            <a:ln>
              <a:noFill/>
            </a:ln>
            <a:effectLst/>
          </c:spPr>
          <c:invertIfNegative val="0"/>
          <c:cat>
            <c:strRef>
              <c:f>'Questions &amp; KPIs'!$L$13:$L$33</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'Questions &amp; KPIs'!$O$13:$O$33</c:f>
              <c:numCache>
                <c:formatCode>General</c:formatCode>
                <c:ptCount val="20"/>
                <c:pt idx="0">
                  <c:v>1</c:v>
                </c:pt>
                <c:pt idx="5">
                  <c:v>6</c:v>
                </c:pt>
                <c:pt idx="9">
                  <c:v>7</c:v>
                </c:pt>
                <c:pt idx="16">
                  <c:v>3</c:v>
                </c:pt>
              </c:numCache>
            </c:numRef>
          </c:val>
          <c:extLst>
            <c:ext xmlns:c16="http://schemas.microsoft.com/office/drawing/2014/chart" uri="{C3380CC4-5D6E-409C-BE32-E72D297353CC}">
              <c16:uniqueId val="{00000002-A637-4F0C-9987-ADED4ECB9A46}"/>
            </c:ext>
          </c:extLst>
        </c:ser>
        <c:ser>
          <c:idx val="3"/>
          <c:order val="3"/>
          <c:tx>
            <c:strRef>
              <c:f>'Questions &amp; KPIs'!$P$11:$P$12</c:f>
              <c:strCache>
                <c:ptCount val="1"/>
                <c:pt idx="0">
                  <c:v>Unknown</c:v>
                </c:pt>
              </c:strCache>
            </c:strRef>
          </c:tx>
          <c:spPr>
            <a:solidFill>
              <a:schemeClr val="accent6">
                <a:lumMod val="60000"/>
              </a:schemeClr>
            </a:solidFill>
            <a:ln>
              <a:noFill/>
            </a:ln>
            <a:effectLst/>
          </c:spPr>
          <c:invertIfNegative val="0"/>
          <c:cat>
            <c:strRef>
              <c:f>'Questions &amp; KPIs'!$L$13:$L$33</c:f>
              <c:strCache>
                <c:ptCount val="20"/>
                <c:pt idx="0">
                  <c:v>T-Shirts</c:v>
                </c:pt>
                <c:pt idx="1">
                  <c:v>Jeans</c:v>
                </c:pt>
                <c:pt idx="2">
                  <c:v>Bikinis</c:v>
                </c:pt>
                <c:pt idx="3">
                  <c:v>Sundresses</c:v>
                </c:pt>
                <c:pt idx="4">
                  <c:v>Shorts</c:v>
                </c:pt>
                <c:pt idx="5">
                  <c:v>Tank Tops</c:v>
                </c:pt>
                <c:pt idx="6">
                  <c:v>Graphic Tees</c:v>
                </c:pt>
                <c:pt idx="7">
                  <c:v>Sneakers</c:v>
                </c:pt>
                <c:pt idx="8">
                  <c:v>Sandals</c:v>
                </c:pt>
                <c:pt idx="9">
                  <c:v>Leggings</c:v>
                </c:pt>
                <c:pt idx="10">
                  <c:v>Maxi Dresses</c:v>
                </c:pt>
                <c:pt idx="11">
                  <c:v>Crop Tops</c:v>
                </c:pt>
                <c:pt idx="12">
                  <c:v>Hoodies &amp; Sweatshirts</c:v>
                </c:pt>
                <c:pt idx="13">
                  <c:v>Casual Dresses</c:v>
                </c:pt>
                <c:pt idx="14">
                  <c:v>Baseball Caps</c:v>
                </c:pt>
                <c:pt idx="15">
                  <c:v>Workout Tops</c:v>
                </c:pt>
                <c:pt idx="16">
                  <c:v>Sunglasses</c:v>
                </c:pt>
                <c:pt idx="17">
                  <c:v>Pajama Sets</c:v>
                </c:pt>
                <c:pt idx="18">
                  <c:v>Jewelry</c:v>
                </c:pt>
                <c:pt idx="19">
                  <c:v>Tote Bags</c:v>
                </c:pt>
              </c:strCache>
            </c:strRef>
          </c:cat>
          <c:val>
            <c:numRef>
              <c:f>'Questions &amp; KPIs'!$P$13:$P$33</c:f>
              <c:numCache>
                <c:formatCode>General</c:formatCode>
                <c:ptCount val="20"/>
                <c:pt idx="0">
                  <c:v>35</c:v>
                </c:pt>
                <c:pt idx="1">
                  <c:v>105</c:v>
                </c:pt>
                <c:pt idx="3">
                  <c:v>10</c:v>
                </c:pt>
                <c:pt idx="4">
                  <c:v>2</c:v>
                </c:pt>
                <c:pt idx="6">
                  <c:v>6</c:v>
                </c:pt>
                <c:pt idx="7">
                  <c:v>2</c:v>
                </c:pt>
                <c:pt idx="8">
                  <c:v>10</c:v>
                </c:pt>
                <c:pt idx="9">
                  <c:v>3</c:v>
                </c:pt>
                <c:pt idx="11">
                  <c:v>4</c:v>
                </c:pt>
                <c:pt idx="16">
                  <c:v>9</c:v>
                </c:pt>
              </c:numCache>
            </c:numRef>
          </c:val>
          <c:extLst>
            <c:ext xmlns:c16="http://schemas.microsoft.com/office/drawing/2014/chart" uri="{C3380CC4-5D6E-409C-BE32-E72D297353CC}">
              <c16:uniqueId val="{00000003-A637-4F0C-9987-ADED4ECB9A46}"/>
            </c:ext>
          </c:extLst>
        </c:ser>
        <c:dLbls>
          <c:showLegendKey val="0"/>
          <c:showVal val="0"/>
          <c:showCatName val="0"/>
          <c:showSerName val="0"/>
          <c:showPercent val="0"/>
          <c:showBubbleSize val="0"/>
        </c:dLbls>
        <c:gapWidth val="10"/>
        <c:overlap val="100"/>
        <c:axId val="2031451664"/>
        <c:axId val="2031455024"/>
      </c:barChart>
      <c:catAx>
        <c:axId val="203145166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1455024"/>
        <c:crosses val="autoZero"/>
        <c:auto val="1"/>
        <c:lblAlgn val="ctr"/>
        <c:lblOffset val="100"/>
        <c:noMultiLvlLbl val="0"/>
      </c:catAx>
      <c:valAx>
        <c:axId val="20314550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145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[ecommerce-blank.xlsx]Questions &amp; KPIs!pvt table gender</c:name>
    <c:fmtId val="29"/>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s>
    <c:plotArea>
      <c:layout>
        <c:manualLayout>
          <c:layoutTarget val="inner"/>
          <c:xMode val="edge"/>
          <c:yMode val="edge"/>
          <c:x val="2.9946324447476476E-2"/>
          <c:y val="0.13534240195947736"/>
          <c:w val="0.55105879653503242"/>
          <c:h val="0.81961130396605753"/>
        </c:manualLayout>
      </c:layout>
      <c:doughnutChart>
        <c:varyColors val="1"/>
        <c:ser>
          <c:idx val="0"/>
          <c:order val="0"/>
          <c:tx>
            <c:strRef>
              <c:f>'Questions &amp; KPIs'!$T$11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A92-440F-88DD-349D7B4F1AD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A92-440F-88DD-349D7B4F1AD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A92-440F-88DD-349D7B4F1AD8}"/>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A92-440F-88DD-349D7B4F1A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'Questions &amp; KPIs'!$S$12:$S$16</c:f>
              <c:strCache>
                <c:ptCount val="4"/>
                <c:pt idx="0">
                  <c:v>Female</c:v>
                </c:pt>
                <c:pt idx="1">
                  <c:v>Male</c:v>
                </c:pt>
                <c:pt idx="2">
                  <c:v>Other</c:v>
                </c:pt>
                <c:pt idx="3">
                  <c:v>Unknown</c:v>
                </c:pt>
              </c:strCache>
            </c:strRef>
          </c:cat>
          <c:val>
            <c:numRef>
              <c:f>'Questions &amp; KPIs'!$T$12:$T$16</c:f>
              <c:numCache>
                <c:formatCode>General</c:formatCode>
                <c:ptCount val="4"/>
                <c:pt idx="0">
                  <c:v>733</c:v>
                </c:pt>
                <c:pt idx="1">
                  <c:v>479</c:v>
                </c:pt>
                <c:pt idx="2">
                  <c:v>17</c:v>
                </c:pt>
                <c:pt idx="3">
                  <c:v>186</c:v>
                </c:pt>
              </c:numCache>
            </c:numRef>
          </c:val>
          <c:extLst>
            <c:ext xmlns:c16="http://schemas.microsoft.com/office/drawing/2014/chart" uri="{C3380CC4-5D6E-409C-BE32-E72D297353CC}">
              <c16:uniqueId val="{00000008-2A92-440F-88DD-349D7B4F1AD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97455033834878"/>
          <c:y val="6.2364601482183056E-2"/>
          <c:w val="0.34203319767368906"/>
          <c:h val="0.9373701339675327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[ecommerce-blank.xlsx]Questions &amp; KPIs!pvt table month</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long we take to 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'Questions &amp; KPIs'!$AI$54:$AI$55</c:f>
              <c:strCache>
                <c:ptCount val="1"/>
                <c:pt idx="0">
                  <c:v>3</c:v>
                </c:pt>
              </c:strCache>
            </c:strRef>
          </c:tx>
          <c:spPr>
            <a:solidFill>
              <a:schemeClr val="accent6"/>
            </a:solidFill>
            <a:ln>
              <a:noFill/>
            </a:ln>
            <a:effectLst/>
            <a:sp3d/>
          </c:spPr>
          <c:invertIfNegative val="0"/>
          <c:cat>
            <c:strRef>
              <c:f>'Questions &amp; KPIs'!$AH$56:$AH$59</c:f>
              <c:strCache>
                <c:ptCount val="3"/>
                <c:pt idx="0">
                  <c:v>Jan</c:v>
                </c:pt>
                <c:pt idx="1">
                  <c:v>Feb</c:v>
                </c:pt>
                <c:pt idx="2">
                  <c:v>Mar</c:v>
                </c:pt>
              </c:strCache>
            </c:strRef>
          </c:cat>
          <c:val>
            <c:numRef>
              <c:f>'Questions &amp; KPIs'!$AI$56:$AI$59</c:f>
              <c:numCache>
                <c:formatCode>General</c:formatCode>
                <c:ptCount val="3"/>
                <c:pt idx="0">
                  <c:v>1</c:v>
                </c:pt>
                <c:pt idx="1">
                  <c:v>3</c:v>
                </c:pt>
                <c:pt idx="2">
                  <c:v>1</c:v>
                </c:pt>
              </c:numCache>
            </c:numRef>
          </c:val>
          <c:extLst>
            <c:ext xmlns:c16="http://schemas.microsoft.com/office/drawing/2014/chart" uri="{C3380CC4-5D6E-409C-BE32-E72D297353CC}">
              <c16:uniqueId val="{00000000-763D-477A-9455-0802157D495C}"/>
            </c:ext>
          </c:extLst>
        </c:ser>
        <c:ser>
          <c:idx val="1"/>
          <c:order val="1"/>
          <c:tx>
            <c:strRef>
              <c:f>'Questions &amp; KPIs'!$AJ$54:$AJ$55</c:f>
              <c:strCache>
                <c:ptCount val="1"/>
                <c:pt idx="0">
                  <c:v>4</c:v>
                </c:pt>
              </c:strCache>
            </c:strRef>
          </c:tx>
          <c:spPr>
            <a:solidFill>
              <a:schemeClr val="accent5"/>
            </a:solidFill>
            <a:ln>
              <a:noFill/>
            </a:ln>
            <a:effectLst/>
            <a:sp3d/>
          </c:spPr>
          <c:invertIfNegative val="0"/>
          <c:cat>
            <c:strRef>
              <c:f>'Questions &amp; KPIs'!$AH$56:$AH$59</c:f>
              <c:strCache>
                <c:ptCount val="3"/>
                <c:pt idx="0">
                  <c:v>Jan</c:v>
                </c:pt>
                <c:pt idx="1">
                  <c:v>Feb</c:v>
                </c:pt>
                <c:pt idx="2">
                  <c:v>Mar</c:v>
                </c:pt>
              </c:strCache>
            </c:strRef>
          </c:cat>
          <c:val>
            <c:numRef>
              <c:f>'Questions &amp; KPIs'!$AJ$56:$AJ$59</c:f>
              <c:numCache>
                <c:formatCode>General</c:formatCode>
                <c:ptCount val="3"/>
                <c:pt idx="0">
                  <c:v>1</c:v>
                </c:pt>
                <c:pt idx="1">
                  <c:v>2</c:v>
                </c:pt>
                <c:pt idx="2">
                  <c:v>2</c:v>
                </c:pt>
              </c:numCache>
            </c:numRef>
          </c:val>
          <c:extLst>
            <c:ext xmlns:c16="http://schemas.microsoft.com/office/drawing/2014/chart" uri="{C3380CC4-5D6E-409C-BE32-E72D297353CC}">
              <c16:uniqueId val="{00000001-763D-477A-9455-0802157D495C}"/>
            </c:ext>
          </c:extLst>
        </c:ser>
        <c:ser>
          <c:idx val="2"/>
          <c:order val="2"/>
          <c:tx>
            <c:strRef>
              <c:f>'Questions &amp; KPIs'!$AK$54:$AK$55</c:f>
              <c:strCache>
                <c:ptCount val="1"/>
                <c:pt idx="0">
                  <c:v>5</c:v>
                </c:pt>
              </c:strCache>
            </c:strRef>
          </c:tx>
          <c:spPr>
            <a:solidFill>
              <a:schemeClr val="accent4"/>
            </a:solidFill>
            <a:ln>
              <a:noFill/>
            </a:ln>
            <a:effectLst/>
            <a:sp3d/>
          </c:spPr>
          <c:invertIfNegative val="0"/>
          <c:cat>
            <c:strRef>
              <c:f>'Questions &amp; KPIs'!$AH$56:$AH$59</c:f>
              <c:strCache>
                <c:ptCount val="3"/>
                <c:pt idx="0">
                  <c:v>Jan</c:v>
                </c:pt>
                <c:pt idx="1">
                  <c:v>Feb</c:v>
                </c:pt>
                <c:pt idx="2">
                  <c:v>Mar</c:v>
                </c:pt>
              </c:strCache>
            </c:strRef>
          </c:cat>
          <c:val>
            <c:numRef>
              <c:f>'Questions &amp; KPIs'!$AK$56:$AK$59</c:f>
              <c:numCache>
                <c:formatCode>General</c:formatCode>
                <c:ptCount val="3"/>
                <c:pt idx="0">
                  <c:v>1</c:v>
                </c:pt>
                <c:pt idx="1">
                  <c:v>3</c:v>
                </c:pt>
                <c:pt idx="2">
                  <c:v>2</c:v>
                </c:pt>
              </c:numCache>
            </c:numRef>
          </c:val>
          <c:extLst>
            <c:ext xmlns:c16="http://schemas.microsoft.com/office/drawing/2014/chart" uri="{C3380CC4-5D6E-409C-BE32-E72D297353CC}">
              <c16:uniqueId val="{00000002-763D-477A-9455-0802157D495C}"/>
            </c:ext>
          </c:extLst>
        </c:ser>
        <c:dLbls>
          <c:showLegendKey val="0"/>
          <c:showVal val="0"/>
          <c:showCatName val="0"/>
          <c:showSerName val="0"/>
          <c:showPercent val="0"/>
          <c:showBubbleSize val="0"/>
        </c:dLbls>
        <c:gapWidth val="150"/>
        <c:shape val="box"/>
        <c:axId val="547665695"/>
        <c:axId val="547649375"/>
        <c:axId val="0"/>
      </c:bar3DChart>
      <c:catAx>
        <c:axId val="54766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49375"/>
        <c:crosses val="autoZero"/>
        <c:auto val="1"/>
        <c:lblAlgn val="ctr"/>
        <c:lblOffset val="100"/>
        <c:noMultiLvlLbl val="0"/>
      </c:catAx>
      <c:valAx>
        <c:axId val="54764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6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[ecommerce-blank.xlsx]Questions &amp; KPIs!pvt table days to deliver</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'Questions &amp; KPIs'!$AJ$63</c:f>
              <c:strCache>
                <c:ptCount val="1"/>
                <c:pt idx="0">
                  <c:v>Total</c:v>
                </c:pt>
              </c:strCache>
            </c:strRef>
          </c:tx>
          <c:spPr>
            <a:solidFill>
              <a:schemeClr val="accent6"/>
            </a:solidFill>
            <a:ln>
              <a:noFill/>
            </a:ln>
            <a:effectLst/>
          </c:spPr>
          <c:invertIfNegative val="0"/>
          <c:cat>
            <c:strRef>
              <c:f>'Questions &amp; KPIs'!$AI$64:$AI$68</c:f>
              <c:strCache>
                <c:ptCount val="4"/>
                <c:pt idx="0">
                  <c:v>0</c:v>
                </c:pt>
                <c:pt idx="1">
                  <c:v>1</c:v>
                </c:pt>
                <c:pt idx="2">
                  <c:v>2</c:v>
                </c:pt>
                <c:pt idx="3">
                  <c:v>4</c:v>
                </c:pt>
              </c:strCache>
            </c:strRef>
          </c:cat>
          <c:val>
            <c:numRef>
              <c:f>'Questions &amp; KPIs'!$AJ$64:$AJ$68</c:f>
              <c:numCache>
                <c:formatCode>General</c:formatCode>
                <c:ptCount val="4"/>
                <c:pt idx="0">
                  <c:v>2</c:v>
                </c:pt>
                <c:pt idx="1">
                  <c:v>7</c:v>
                </c:pt>
                <c:pt idx="2">
                  <c:v>6</c:v>
                </c:pt>
                <c:pt idx="3">
                  <c:v>1</c:v>
                </c:pt>
              </c:numCache>
            </c:numRef>
          </c:val>
          <c:extLst>
            <c:ext xmlns:c16="http://schemas.microsoft.com/office/drawing/2014/chart" uri="{C3380CC4-5D6E-409C-BE32-E72D297353CC}">
              <c16:uniqueId val="{00000000-B827-490B-9A78-19E68FEB4BA4}"/>
            </c:ext>
          </c:extLst>
        </c:ser>
        <c:dLbls>
          <c:showLegendKey val="0"/>
          <c:showVal val="0"/>
          <c:showCatName val="0"/>
          <c:showSerName val="0"/>
          <c:showPercent val="0"/>
          <c:showBubbleSize val="0"/>
        </c:dLbls>
        <c:gapWidth val="20"/>
        <c:overlap val="-27"/>
        <c:axId val="547670975"/>
        <c:axId val="547654655"/>
      </c:barChart>
      <c:catAx>
        <c:axId val="54767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54655"/>
        <c:crosses val="autoZero"/>
        <c:auto val="1"/>
        <c:lblAlgn val="ctr"/>
        <c:lblOffset val="100"/>
        <c:noMultiLvlLbl val="0"/>
      </c:catAx>
      <c:valAx>
        <c:axId val="54765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7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plotSurface>
          <cx:spPr>
            <a:ln>
              <a:solidFill>
                <a:schemeClr val="tx1"/>
              </a:solidFill>
            </a:ln>
          </cx:spPr>
        </cx:plotSurface>
        <cx:series layoutId="regionMap" uniqueId="{C950D11E-B21F-451C-9DE7-9DC4AED7D514}">
          <cx:tx>
            <cx:txData>
              <cx:f>_xlchart.v5.0</cx:f>
              <cx:v>Sum of Quantity</cx:v>
            </cx:txData>
          </cx:tx>
          <cx:spPr>
            <a:ln>
              <a:solidFill>
                <a:schemeClr val="tx1"/>
              </a:solidFill>
            </a:ln>
          </cx:spPr>
          <cx:dataId val="0"/>
          <cx:layoutPr>
            <cx:geography cultureLanguage="en-US" cultureRegion="IN" attribution="Powered by Bing">
              <cx:geoCache provider="{E9337A44-BEBE-4D9F-B70C-5C5E7DAFC167}">
                <cx:binary>7H1pc6RI0uZfKavPizoOIIix6ddsAshU6q6S6uovWJaUxU0Awf3r15FUNUoyVYPWOm1tcpfutjYJ
POTwhHv4FR7/vO/+cZ9s1uW7Lk0y9Y/77s/3QVXl//jjD3UfbNK1OknD+1Iq+aM6uZfpH/LHj/B+
88dDuW7DzP+DIKz/cR+sy2rTvf+ff8Jo/kZeyPt1FcrsQ70p+48bVSeV+s29vbferR/SMHNCVZXh
fYX/fG+vk/CHLLNw/X77Hvnz/Tmwot7Zss6q/v27TVaFVX/X55s/32+NQt6/+2P6x3YYe5cA71X9
AMTUPKGEMaLrBn+63r9LZOY/39Yw5icm3MMEs59/9mqdAuVshh7ZWT88lBul4LUe/z8l33oH+BD/
+k8f4H78EOOX9wGEP99/ysJq8/DutlpXG/X+Xajk45cqe1uOb/np9vGz/LGN3f/8c/IL+FCT37yA
d/pV/9OtbQT/A7rLZJNlB0CXnxgEGZgTcwIrISeYW5hRA2bM02x6gnU2J/th3SafAes2wZHB+q8E
ROVhfQBg2YmFdItYJn2SWhDOLbEFfAlINTMn8L6Bo/0ATweYAfGU5MhAtmVSq0NgzE8I4oSa2ECP
F0A5xRghi5pcN7ZleD5H+zGe0M+AeEJxZAjf1lW1KQ8gxfwEU0IILK5PUmxNEcYnJjGwrnPQ3y+1
9HyO9iM8oZ+B8ITi2BAO1qo6gAzr6MRgukktyl6VYWphZFnjCr2F8GyOXkF4m34OwtsUR4bwpcxA
hjf9AaTYPDGZyRhFzxjTPVJsmDALpovxW3jaj/LOCDNw3qE5MqTd5J0jy/WDPADU1gkj3DTIs9XF
+RRqdMI4x7plmI/yjreF+k2s7Ud8d4gZkO8SHRnm/0ryMNscBHCTUwNMMH3/Cg3uMYPLAC2/DfV8
jvbjPKGfAfKE4r8A4d+zuPXKo/8MQYGnFXJP3OOtYQ92QgzdNDnmT+syCOqWbT2GPTAjDOvPptnP
v/3kJb+M1LzO035kX9JuvePTK/7+o/zXRTZukvX9QWxn68TibFS1zwjuWXUR0ylG5ElyQVW/tK/m
87UfxQn9HiC3fgURvAnFkeG8yvpDLLgmxDkIxLDYs/6dLrjYgjgWN03LAt/pJb5z+dmP7hb1FpD7
g5Nbzx8ZsjZYzuXoGx3EQ6LWCcIW55SC4TReOz4wRCopGFQMTxB+K1/7kd47ygzE99IdGfKX6zI8
RFSanXCmG8xAz2b0HsgNii2TjZPhpVDPZmg/1tvkM0DeJjgydP+Vgo90iKiWdUIh8IyIBSbxllFF
wDtihHCKntbsiXc0n6H98E7oZ+A7oTgygM835SGk1zihjOoIzOdXTedRo0Nkc5oxnMnPfnS33mYG
tlvPHxmyziZ5dyUhIf33e7w6PmGGDmI6LsrjtZNZ0iEtoVPILE1SS29iaj/Gu0PMAHqX6MjQvquT
dXkAqMfcP0WYoGd1jPY4wYSDZY0NcK5ersPzOdqP84R+BsgTiiND+FYm6+wQ7pMFYQ5wkcfg9M94
5PaKTE6Qzi0D6dP0w2yO9iM8eaMZCE8ojg3hdfZObKBK5RAog5NsAM6EvlLDQ/CJjggy8Q7Kb+Lq
FaR3x5iD9i7VkSF+tWnWByn9gLIAkzCLoueygH2BLww1ATtJ4/kc7Ud6Qj8D5QnFkSF8KR/k/UEs
MJ0jDjV35pMFtlO7BUllHcLXYGJvL8uzGdqP7zb5DHi3CY4MXTEWffz96FIoyQNNPfpPT+juBD/w
iQG+FYaikG10ZzO0H91t8hnobhMcGbqQhFk3m3J9iJLaMSRtQlEPe63mA52Y1ljZNV2O38TUfpR3
h5iB9C7RkaG9gNrjg9jX5gmj2DQMKJN+uiYRrzE9bBnwD56U6M3naD/OE/oZIE8ojgzh0zr9LpOH
6u9X2FDCxSwwnfXdGmr9BJuYIijD/Qn+Syf5LSztB3lnhBkw79AcGdC362ws1Cvr4e+HGgIikJjA
Ovppee2szeAuE8uCgMnUXX4TV/vR3vNmM/DeQ3WciEMM7AAFmpRBDExnkJJ4luEdyPHJGAEDd2qi
wZ8//Fy2fov51iDzQd8iO0rUxbr8fhjc9ROdoDHF+PrKbXKL6hjq6x+vbWP8Cf03sPc7/KfDzJ4B
U8IjmwOXmww87PAglhuU3o8OGGP4lcgohTQHMykdEyAvl/U3MbUf9d0hZiC+S3RkaK/SfFOG6+QA
6zqBqlxiGWM12OM1DZlh48QAK97AkLYer4nn/RbO9iO+M8IMwHdojgxvUKHvLupQvbv+Hqr8EHFx
44TAvgqIhYLF9gzrdvYDHHEAHEItk+LA/wPW9uP+2kAz4H+N9MhmwXW5zvxDxNkoyDykvizzlTgb
hi2UBlSimFNpn8/Rfswn9DOgnlAcGcKX6wcItB1Aq4O3ZkLOi0Ah2WvijUwoHYQS7skSPpuj/QhP
3mgGwhOKI0P4Yh0fQoI55KYpZgics8drz/5Xjg1sWmzijc/lZz+6W9QzsN16/uiQVWpzgCIyCKrp
sKfG4lB88nhNLTIoFTThtg4e2rbsXqzncvQaulv0s/Ddojg2hKV69y9YgZPNIVIh+gkyCKHWz+4i
0+gKlO8TfQzAgJiP18Twvngbc68gvmeQObDvITsy7D+GkAJT4cMhlDc94RYyKH0uEt2tLYPAGyTI
oK3MZHF+E1P7Ed8dYgbeu0RHhvZYzJ7Lg3SqYCdgZYEdZj2r8z2FhNzUmUVgMd8TTHsLZ/sR3xlh
BuA7NEeG9+36voT2M9lBSs4s6GsAO2PBs34CdKdKGErO+PgPVDrsUexv420/5nvGmIH6Hqojw/1y
U95DLyz7b28VBhobmdy0zNdSJWDUWZjDWr4X8/l87cd7Qj8D6wnFseEsDxIYH0uGDch4P4O8U/8P
JQ0EcqAcVPm2ZQ59JWYF8V5B9yX1HGxfPn9kyEIbuyxUybo+hEnOwLFC0PfNfM2rxicIjUY5A2P9
ZeLjbVztR3nPGDOw3kN1ZIhfrfP1ATQ2yDKHLnBQSvi4CKMdLxu6xIGTjcBw28Z6Lj/7Ud6inoHv
1vNHhuxNUkOH0QNgy084NRm0onlOYO9YYOgEwidQRkwnhQvzOdqP7oR+Br4TiiNDeEzUCNjauC4f
DpOqhjIzaPOHLdis9XhNpRgyGQSEGLphbAvx2xnbD/gr48wA/hXKI5wATrjxZ1k/b2zPC5lrDDvl
IXs9rSxlUHwIreOsn5t+drGfzdPrsG8PMRPxbaJjAzvclAfJZsG+ABNRqCV9cp5212p0AjehZAl2
643XJFR6O5uvV9Depp8D9TbFseEMWn0Buen7UN3Ln7K1p/EUGE5va7jNoJwYIQZFhU+RE1Da20UJ
ZKxMw4ZF96jzXxzNMSheAfrli/0aZg7eewmPEPYzuS7qQzU+AWWuEwD48Zqu5LBRk3Doxc75fhkH
BN7A3Ov4TweZif6U7Niwh5BCehg3TKfcBE/stQahj6u8qUMQ/aemeWozdzubo1ew3qafA/M2xbEh
DAJ0CUcEHMJSe8yBMKgkf96EveOPga9NoJCc69OV+y1MvYLzzhBzoN4hOjK0P0P0qj6IrQYtUMAS
o+i1nmVjjJRDsamJJjG0N7C0H+npADNwnpIcGcp3NfTfTw/S/BX6lFngWcN6/LRcT9OaUKQCBjvG
FoGF/GWo9C087cd5Z4QZQO/QHBnSt6GKw17Wv4zWp0/+NxjlY9MjCiY3+Xmcxh6j3ISQuQH1hNtI
v4Wn/UjvjDAD6R2aI0P6m0wOsURb0KgdGolCvHvqcwH+DIqQYDvnNrxzGdkP7Rb1DFi3nj8ySO+g
lSQcWXUA2YX9udBqDvyq541aewyvEXLYyDUB9w0s7cd3OsAMiKckx4byJlgfwoWCelHYm2NCMeEr
2/XG845gsx70zXhyradQz+brFaS36ecAvU1xZDh/q78fwlEeN+Vh2IYFxQWP107FN/RGgWpvC87S
mOjpmfzsR3frbWZgu/X8/w1kXz+l7tdZf866WruPpwS+OKju93cfPw6cbTghfbZs95tZTybY6uHP
95BiptBHDpbWX/HQcaAtu/in3fITvG26DZzB8+d7DbLVJ/rYAIcasHmHQC3K+3ft5vkW7OqBlv1w
vAY0jIbUJtzKoA9m8Od7HbbmQ08VsNB0iJHDzh/QAErWj7cgE8pBcUCmG7JkUHDKfh3jeCOT3pfZ
r+/y/PO7rE5vZJhVCt6LwVzLn54b+TWgcw8kzccGXGMHF2AFZml+v/44HtAIj/8v7NWqjktT3nQl
Yous0Vuh53ojBr09DVhZi6bvO1GjFl3DS6BzlKQ4E2bI4lViIfk1TD11CR1iOqEoLW6j2tRPja5W
V23s5Q955aVLljThRZCwngkf96Gdc62lIsVad6PKtLouokj/piGzWmCPGJbteThxhszLrmI/5w+W
Fnzsu8S49jHWzogftMvBMtNPldUb35KGlbctMerLSgVsFdeZLASrtXiBjV5+pjWqREAV2UijTr4a
KMlOfUNxJ8s9tW4oR26ArNBlJW+XLGrL8zpo8g9tlLlJHVYLP/Rzp2mx3lwHWqY391L5gX6OM2/o
u0Ul43qJh6rWNrrPo+Aq0JO6EIWnsvKaBXkmmI+74DaIuCastlaFGCo6sPbK4po0BfL1oNMXMmkt
lomkyVvNMYifhOemlmm9COuk/x41pEhd0vIFL7zum9kmdN1rzJBC68xs4QemcdbXZn9btXJYU9gY
GouMhOjcb+NAhD7mSy9v/O8wk0IbZcOw9lQwbMyw+1pqxQJOzzzTmFROis3Gbo0yP9Xy1sfCwnW/
jHtLO/dx1V/Esssdo+JxJ7pUaokIWz9cqLSiuSiaNBd5XHzRWZisEo4/0bgITnOt6EWA2kYYVlmd
mpEyb60gT1eVVvFPOSrMq44XyEmJ5EiQypB3nkLpRjUJ/66xVjujScVE3qXXkYU1p6yabtlomurc
NimKyum8MP/BNKlWfe5lH01sqZWBBvMvf8DMGTiLPnVeHF2wSI8ulVZE37DHpN0OrL9Q8SC/DXWn
ncPk9W3KsvY68kvvqzWk7acsKhO3ll14q4VdfhM0SWlnnLLEyXS9UUIpHbtNxIPKVZ2hHL/sW2b7
mWGekoZsuNkIPaFnrGvph94sLV8gaeJNLvNhUYRICZ4rU1StZYiXh31uSfi9zPsy9IPns1p//fg/
dzKFfx9P//z3L8ejXv/903Ijx6Csmj406uJfT/37BNFR9/06TnSiUZ/Oi31F3f725pt08RiVeF0X
PzZv21XEj6GMZ0UMYSzoxw8tYOEEWIT52AX2lyIGHW0wQqG6iI7nIUHg+qcixkAEXhaciWOBhmaw
IPzUw/gE0tWPzTZAhRNE8Vv08KjQJ2pYx2AMcNi+C2PBTt9tNVzIQq+sIApuijoyrNMibrVQGOwa
kzAoc+Frnja4cS5bsxR1PiDuqJDpntNXXVUuLJTi6rY1sc9/tJY6LbWMeus8TiPktm2WaOfw0so7
w0HUY9cfNM2/0eMsTANR6EHe2LgmXd2JwRiS0E4U98JAsIxR325606zsuqLc6kXZ12wQURmCdLNH
fZZEhiZox0rjtPBLHtlZqmB5KNqkvPYftWFNQTRcH9YKU8SW6aBHfWmEvFr+vzj1X05iA6Lvv5v1
0Ors1xHL/7Zdnqh+2h8YCm7GLUsIWlw/TuIX0x7ahox9N18YGT+nPdgfeCybReOJQdA9G0yT53lP
yQlshLFg/wOc8wdllfxN8x7vzHsOTg7sejShqS+FXCII2EvzoxqozIu67q6ylnK3ab0gF5JGLLZj
1jYfTM3oz6KuyWIXobj6Vkm9+RTrqiuE4lnx5cXX22sNTaUQNnaA3QVnYOnjgbSjj/2SGz3r85gH
dXNFigxf+TEYIaJm0gzsrqkkF02r199Yk4NslqlVFXYRlbEvvEEx3QYzK3vgVYWuYYygdkiS4E+D
oVl42ZuGt8G9hrvF7zkmoJq29QZwDAf2wd5DbrBRD004DlkABmRfXdHO8H3H7IbkUwNNkumiYr00
wHrrcOSEzLPEwMw+FH2M6DJtyh47ZSOrh6BTCtuhlhuOgjPCG1GlAWoECHTsu74EjRTX/CxVPFAO
ODr8swqK8zhpjc4NlWZehmXQpE+S/HRg9R4cIMgxeSk46whBlwvoyw51QY8v/cImZb3mt1qeqKus
8vhn6VuYCD0mMDXyrO5u2q7ktzkYiV9//zHHufbSFIZafziXhVFoZgiHecBysP0tDdT5eq787Cqz
BnyF46C+ylRph5YXfP79XwLx2flLHJoYM9gSCv6hNZlneab3Q1EG8srKkb4uWlkmSw/sWSLiPHBR
USeDTVFvSTuiRpv+p0kzTortF4WJAgcR6WDyQ8+36Z+HBtth4GdpeMWK2FinUW2s42TkwRhS5Zql
lKJHAP0SzKyWiCKWbFMlXK1a3usXnUlLZNM2krEdsSz9RMucUCew+n6Ta03uIG1ImW1wqZenBjWH
+snGeXV6jO0Gp/yzUW1ANyM4FRqW522gkFkbmWF42iWuvXQdlpXyBdbiKtMF7fvMP2uDMP7uWzy/
6IYiWJhS70Kb4Ib9qNgwSLsPfGbrMmo2YUnZQ2PkATv7PcS6sQMy1SlMojGQB4lS49HzejGLweoL
URlU9DLSi9zjllPxYFh2VUf5omrq2i67An1o0t6oRRAEzC5xtlSkzJeJnhM7Tor0Y54YaSdY0vpf
2iiVq15VlciNIv9kqthyvCLz7FpGUSjCikat8CKVXbW5pq4LbaCuD9Z/JLTBy1KbNEF6aphV8pFE
/o3fZ7QTSc2Kq8or7iqSatQxGwIfMuwJ6Aa9HgaBWiu6SALD+uahWj8LTAtfDH7XcLtFgZ7CQcp9
uNKssk9F21uDg1tDc4aou89VUd3WSGOBaNOKLTxV1CvdI+SuCHAbLz2m4VAMQex9hw3zZSPCrND+
qlOWOnmuyCqWWb7CBU8ewiY3Qe5pGt+G3OuYaArdPyu9srZ7+A5LrBN+XbRp5+ptWSww7nDjJnAA
E5gurW8VdkMCz00VLZ0659eBp/nIwVhWp7DUkNbOUGQKq2LJ1y5FwTkpeX5r0MpY1jzSyEKZ6bC2
TFm6CnXRsGhiy19oXYfWRCXtD+XnuWEPpEK1yHzS+IuuiiQIR9u6vd/U1qKUXuAkFU1PM3hUgDov
JXzotGEiUlGk2cxrmWDS6AahV4ln00rL0mVpxq6v1z360FKsO6EqUSLATy6qBa1arpYdZd2FGQ9D
4n2o26JKU9GHSZ+VD4EXEDJ8U63WMTDweAmqXN6TPo0qCsZjVdc5uqriKo27Mx4Ww7LhdeWt0jIM
cxGRRN4iptFV1FNa2zVg4Im+QByswyC1LCfzPFgPqyRuC9eMWx/ZZVJh7zookMnkadyzNnDAX+fV
hakqCjOq9SRWrV3DWrgwtSDyrhsQHdO3CysHzwjTWKWLLAlLLpICFi/P7ZrQtDUP2p0ZovdQpsN5
Xl6a2gGvW2/RJixJXeWBVbAwMj8dbGswQGNmJNZrOw1K8E4b1fvqRoVamrrSD60fWt2wEDlIkmoZ
6lZtXRma53tnGWUVM8Bu7VQx9KcKkmZl4OZ+wFLXU81QLHipsnDRJ2banyKl0tw2SA9mMuuMPlmC
LRxqNsBKvmh5OmAHdhHHqQP/Ie06iZCm4JNn2ZcoTXm6oiWvEjcOKvPjADY1XUSaJPg8aAMFEQAW
kKBaemWTZ7ewGNOzyB9IvKhz4MCVVeIProW7gdtW1OftZWr1MLU1EJXS8TCuz0rw/hPH96hfOyxr
AM6QKbBPsiGiwyaJoa7HsYCB1KF9GhQrjEL91IdQjmmTOC6oE8rQc4baiw2htWXObyKvjXSbhkU0
iDSPBu0ceYm+wLnnG8AuZ7mL+2CQqyDEre/GXA9aMT4nMA95BtPHp4XdtaE2iKoLtb9KOHmv10QI
ckSu8JCFQyisRtfoXZ+0pL4yc95LJ+NFdWnUGSxJvmIxEPCUwtcCtwRn3wacZMFZ0adJt1CtMYTn
uPKrOz0ixtrovNSD2AVM3kWddYy6yhxCYL7GUeoktIiVbbWeG+Kw+Ja0LVgWkR81t8ow2+95GdDT
hrW+51qxgYjILA/GMRIZdYusbPDV0OVU/6AqA9/hSoMnWlNTll3hnnVuQ9IoPC07QtpVxnxFrkON
8c8ZKsbJGUWFglCYCtRN14OzZ6OiBWyCNgPGpAKlew4rGP9MLQixuSloydKBDYqdXFXgj5GbqKzj
+COxMq6vOj1qIeLVVaPxGfTdjRFrZufKNoU/LeUwNKIjaTUsUczGlx9Zb0E/AV95iq90I4O3qAsD
PlUQy3iwedyA6OSJH4cfspKByJc1WAU+3AOdSqosuC6w3peZoHmAAO627OrLVAtyJUJUF92igwOl
qds3BRmVBgiTDW8ECqTjeLSTqyz97MFJxGdWE4aWsAIjhnnR++a6zSiw0ZVR/5FWHVLnPpi50bnM
sziCcBFulypD+KrgfvENDoYwCxHoQUjOpOXz+twLpN84fcmKFgzcni5zAp/VRqzo7+MkNm4gFInk
aYH6Jv7SmqmvTlNPS3/0Ax91SFgkgQN+gEXdkPSBWuRmyr9oyEsXaZv7EErUQc31ZRt8DGWlznka
RwbE6Erig9qDo4dEExD+uYy0xncTkoGYDJpH+UrPJC42KSjk/szCMKXcdtTYLrjL8EW7ZmhcWGTa
4hyXNTFtjydVAystbRCY3kX0V8kbfqf1YKafDbwq8UOlsl5B0BSzZhW2BIbqUhwMtt76pr/KAZbW
1mJuLgbZNNVl17PkNmog4mgxdaqnXWOcDq0J4MQIq2GZJ7GUl5nZ6RdahXTpBkWWNud+3+aBbRkq
De7AElEPiGegRkB1qkbEgWohctU2VgGrQF/cJn6Bw69YDtSCgDFYYP2nvKIah8GUV7oB02L/TPPy
9nvgI62xE6bMeBVyhD90SvOGZVkXKnTDoYZJGpIqojddnAzGVWrmSSKKvEHmpY4DvbN7sG6U2wY5
oNZaWeiLcmAp6A6lEhd3tCudJiFWCaHhAmZ/rHc+c3qvR8r2INRWfGmNHt9FQQlzDVY6/hnmeqpu
Mp5hULAk59HCSgOzFV39jVh1a2ERxw37ZJCsaJ3W8Cv9UvcSq/kI0V1ewuIOM9rNQwpoguPQdxch
rWJ5wco8oDekQ4m58jrJ4b26TvMv4xKiqk6qPNAZYI3V1WWSeMB/yWN/oQIrDpy2Q2jVFzrIPcRc
WCh0L2CXj1bpcwrl5snIf0oAvAzjvYzqzQkPXob3pVTyRzWND24N9N8XRBzPmHg9iDgesvYy/PKU
BHo8l+JnDBH2m0JZBTdMZkGvTQ7e+K8YIiR1oRpSh+NdofDGZBDAew6mUAOat421krDxCTq4Qcrn
38EUHernObYQxBfhWO4x8vgzkLqFJeSxnn9+mczZzeXAfvYxpwyRCzTutJkEAxjOfQQ6obpiiikR
N2Hpg6YlicMKnS9ZY62V57eLIjcCWLaHSNfAsbfqnjssJNG3kIA/BRayrIuVDl0OUzuqoxa5uWbU
7CbXy7K9ydr8KqdxeKeVLeGQWhnYIlKD+mAlQfQXTYzhA6g8f5kjj0CkkbfS60Umk9Ah+hAsqkIp
3ymMrhzdAS2NqIvB9lbfQPaiLhddMpBucGhtqlAtSNaF+CxN20He+kMfa8uw8CLiVtIvl5yCIR+y
zF9CbMZ0StlGS9BAhdsWHl42sYlB5YJ1i2Kz/Dw0QY1PY96bg0tV3ftOT/jQQZKHmsVlzsboaqaD
37RC+WBe1r0KpJMTad6GpllGImN55JqggZc4D+LqNqZJyV1Tz5PrjpgBWRaQQQKloOTXodXB58oL
P45K0QWSrYoE+q67BxHk/z4RHbcCvS6iT2dc7grpSPUz4gmFjAgi+ZAp1KFGGVqqvRBS2A5OmG6O
vV0oJhBX+Cmj1gm0AEBwgNxYWgNRoBcBT9h3jGGfAwRroL8i9Fh+U8KVPkbkXgZfIAUMSV+INMFx
7HCcwnhsxssYo8yNITZ6T12jhN7FUt0SZZynuvoQd3kk2kYPznwEXjPWT6O+j5w0jr2F15itXXW1
J1CRg1XSt7UDdvRHpA+DHeQMi1avTKEG/KFCBUTLOIyVMRm4SZTjFfdLIvIguS1ZFokhk5bAsrvU
CiRFmkU5pMQazdY6w3PAG4rcpCGaKKu2uEJZesdg5+4la4bsIiKkEtIkhfA95bskYUtdcVAyjWxt
Mwh8MZTZXZBZ1Ek0yAmiUq1A2yw8q/JdFYOxzfR0AyGZz+DOaiIhxqmk2q02xFh4hbocRst1MPzv
kCiJRGHUvQ1y7WblKsIX2KcPTbAuqV1x/1RKz3fapobw1FBH8EViyM0lXeyQQeVu3kdr0BqgUKry
oa7aM1zlreAIXqhsvJUqrRvIoeaiz1xtuKgrfNbp1l9GZK4kinTBewM5kBS6KP3yJky7TuiNBYHp
Dl+DNkmEj2oXtDpAQkHRVr6vVqzUkQAn9SPxW/0D14L7jmQfVGaBjZrQxA5xgBekkEQo1uAFNcva
zT1ZuUlcRo4Xt1iUyLqAdM+qr0NdGGXgRFb2sYtVJNBQY7egEFWzVN8Lk0O4A5aAwvWLqrn1K0Rt
D/MvviYjIcN8WaDoTMXsTufDGmt+tkz7WFSocqMm4I4kQQwRlTIQuZ6ftqghtlkVZ9C9UAF+BWjW
NLJjD2cIlH6V3VpeAX+4VJDildeDXt6HspUr0mg3MMHXXIZSlJGfnQUx/loWzWUJbrqjWTrEnVu6
6dp607C+X6gKFHyhLO8UPOfvKYiokMCKHYdmvAjb+hZS3+o8tdBZE0Xf8oGfDwUebEMGS9lqF0Xf
50IhCy0q38NCxl4rSqWuqmgA8WnuAt/7XgTMOs0oxCoiLb31BhqAH1R/KShUBhSVf2oZ8gyKchMh
ezNdWCpbmb7xqQxQcNZUGeSnouEWxmwvisZowHWR0q18E1K/o5valBBvwHwEr6O9jUzPdLCnf1Ey
Ku1mqGvICmfZmSJ1Z3caYyLow0IkKqnsoYOFwUeef5oFQXkTmQYXLS2cLuvxwqrTzxYZIuFXAXgG
ERaKyBAAyjPXS6IavJQ4BGmvyEqFMhAyMgOnJPUKDRZaFVawYthLlibwIgqT9gLUYiUssG5VVA1C
FtmpXhWnkWY6kRwqiCJVEbh6GgZJ0ysbvNhO9HrAHO4rp9KhugN8V0fTjZvI50Kq5hPuonOjrM8k
7a+4Xt42rKnFoNJloHlQbJB6g8hifNV09adQGlDJ0Ac3qV5/iP32sxV3lyodvioPnKUYsigildFn
iDSe6R067ZW6qywTiaLOkEBSUsGT7iJWhctQKRdpbylByu7SK+mHOOsTt2uxy0h+Ruo6E72qf+iG
9xdUOVxDOPcKos83RcQK22rUd88zoHAlHr4mgaJCLyzLBVf7L5UyMMF7LxAVye8kVHN0Wi5dqDno
BKQb+hiKRiLjNNTNjC7htEniBhICZUYonf+/hKPHsimwfV9fwmEb/fOZJ7vLuA6Uv5bxsTwOw2mt
kL8yoUYJVvhftjY5AWUE2Ukoqhot6he2NnQPgLQl7Dl8zti/WMfHgyWh5hIMdwZpTTgW5S22NuRO
J0kIw4JQIBRMQSn9mAwdG1O8XMe5BxU8vmXl12CkygWGKg8QyoQ4SZd9gayC5ZKoHEW5jO0kZgkI
W7UqDPyjkSgVEozasxbCwiIN4siB8PGpL30XjmYyHFqCFMisjha1n7gRi763XtkJ3BSgg7IUVErV
ZC5LDUtoec9vgiL9ZJRWKYoWhN+Ih4seHHHfr6SNwi9eRO/SNMyuQUloNqxgrahD5ruow+FZmgRf
PN2PIXDHP1hxBbU9NdlgrawXPtHau6zgp2ASnUd51y9QB4ul6j7+b/bOrLdyW23Wv0gHEilK4uUn
ac22l4ce7L4R3N02RQ0kJVED9etPqRvJ7iRfNhDg3Bwg+2oHid3u5bX4vqx6qtQF83XRBqCP191N
qk9F2B2YP1TZxJabNu6fyoH1YAX07cCACwhLD7XPy6wQwzcnAxxJQky7eHU9lMXiIGT3FHK3BwoF
fTzs06Hv5Wlq4i9BAFdkXua7SXQ5SVaBK3WXZOPSHkstg3ypR2jrfZ1ztj4WYMuOzAvw0oxyujRy
rdOWiTtu5JkndZdXTbNbrfe9qhqeyq4DjablYV5nmXVF3KfeVIdpUMLbHVeIh01yT4VqUmoDCBeV
Sa2lj5WJH/XwnST6Pca3G4Ff4FuZOiuD4bUcIVQPxXZzjy3OWkqgluE4pxFJdTNBoG9CmUVuOCaa
P7qp0vddG9x2S7XA8wvMTjJwWATv4cMKpyRc4ymrJ54nHvtolOPnbqqOdWxlHnXFnT+A20iKGqJo
cxm0vYfMntvGPzSz2usFIzhg8jMPh/CgFsKzAppOzptuv8r41nXumeh2H6rpSzg7c2rp9DgNUGmD
dX7Dnwx5iTaY211wRc6Upl3g7qsloWlRl7d89IqbifZfg76IU6hT5CSFir6UXhvvunjkbOcUjnB/
3bOaQUusJnMnJi8+G6EHaD+atNjYhOV4gTovZVHyHVbAfJ4YTZMi3vdmOVpa7B2jc06L/oWHc5mF
DpOsNvgjBqwuY33sZzdkI8NLnIji4LXl+pEaHWAAujmjJn5KuugCbfatKbs6D2r22BSluEQQ39YW
Jn855/DH1K6OQkywofxerYafrI6/L3EsUpqsQ84mPuTwLx5sp/ES97dF7Sd53M/mrOM+a2XswSAN
YZWvId7hyZgGi8NXLJNO1SzcvgqK98YU9w3gmTxsgQfgLqqzaAxJXqzNpSPK361+1B3FuOZeMOVx
oc5zRYZcFuSlMvBPgeDYmzL0/Fs69+zN94v6g/axvDVTAnE8aMpZp/9OJ0ynrT//v02n/2mAxX1/
/fNo+vllv4wmsLIRSg8ipJx/UGG/jqYYeIxPcfP74xUTATw8nho9sSFkIuA4GBi/MTWI2+J5HuC/
0CuKmkk8jP4fyECQfP88mmJAO5iZmJEI5yO7+cfRlCyi42NSjtdKWnNOGh7e9mq5JKrpMjb2n6K2
zbvK1kel42Z9K/XQeQ8jLhauW2UGi6l54Bu9amv3YEV41kOr910zSJwODmxIHUCJaaYQpHC5F/VU
nmBA+pkw2EAhEYsy41On9m1smvHJCfPCSwdcFdfINIYLhO2TDOF5Wrz1zIxayiJziZPnsakhyxTe
0Xr9u+BqBZbiFwcXaBjkQc1PzSimTwYPeb8Q3BluE6rg/8onM9LS7JLW+XsTJDKfes/P44mrXNMV
N9FGkpREuKb2Ab/UcW93nQgyZonds8XcJayc0olqvp+adUm9wsJWKtWM42W4C4aBZ1Z1L/0sblww
Axd2ORnIrR+Ky7xabJGVGVMJOTytkiQDFDfuFH7DuCF7FlyxFe/FrKMvkNumYt+xrgRM7cGyLIfg
yPvxsazpU1L5ajyZqPTsgwxUd2SdyVRXRseOuUE9RdbnfVqORTylNC7CAw3mqUpZwd7rYpxPW9Dw
MKq6ztdW3btquIM0dVZNedf55JJYb6+H+ey1Ua5XyM2dSv0KNytpvs+KPErLX/49PH6sttsW+Per
7RZ5+/PJgZUTX/PLycEASW1PcQhA8P8BQt2qUjDc/RDP7Ynxf38Vp5AFwIPvGXyoAMQ+Pu+/nRwJ
NmEUmSY0QSLgR7zgH5wcWJX/cnJgq0VdIhIJMTZljh/i16XW9iDfG1ItV4D7XmoSi2HUfwAdUmYV
cTZfA6U/yClorgTEwdMwFv3R84PxOK5FAIp0SQXXhQVVSu8oBLUdzGaYN3H1Rlfg5RbPdb+U3fQV
Pj7uXk4Pu7prlnsuhMnaVsUZHwv9IRwgIvgjVgvF80mW+tqKrktBsorHQMTqMEJK34mpCPIhCD7C
dW+OTUPHQ8VhALLxRF3yQXRjv4dRSkBbGHlt5NJmYcS/IGgwH/mcfFIrkR+7cNa3JXFqb1c+wkFT
SxbgJbjKIClgalp+7LRG9mAm4LVh4R9nE/O8EZQfjcJtWoj4WQ8Ql0JTNSmiGDdjB26eey8ztvnU
6jHjGnwBK80ZDM2ujoW/I2I6wxG6TDr5hFfzFmIWxDKrN3FtbHGZLr+wKXxdItxJobV8Fl39uWeq
2ZlSAPIR8smGA1bTxotSqoI4i4Q41uvUHb2ofaOibNJFReeoJzK1qxpTzqpqbz0m9mUx+6li6wt+
0RW4BfOkveIuRNAgWeWRFo3B34R+L9xw7w1quqkT3Cx6u/q7bk7uKGzTdC3WO6bxK7VmyTs339ct
/Upo/3md62+w+/pUl+W5bpZrBJ4zjU1g00AAevdmctqegJI14zLks+BX3O9sRtrwGA3RjV7aZKdj
WqQsKF+MWB+QZr9UHSAibwFSAN6Dp3h/LFmUdHVypc6v6FfYMcydYjvUuxjLnVeEawuUqhd5w6BZ
lTF78wYITGOC7d5z+2gturTgFbv1pwZSk+zTmEEVJW1wg1FfIYeBo7WAkZILlsiDY/Uu6YIkxXZM
HnsGYWhKepXh2vStIyZMXSndTrZu3OmK74GpVim4HLzIcihOnoMTLlgdZDM+4JmPdyoV5rFRasE7
G05+wjddrfU/qLIY0iIMj4FWS9oz0Fwxj9qcFHO2hj6cd1e8OUeO0kvYqWbsQ2+LL0Qpm8U1zVDm
cRcOrDnNIYvSdh5hJMODBJwVXmOL8bsgg5GZQEb7pQ+fJti/WWHZjS9nk3HcLjLfY+ceqZdz4PSl
C5vg1GmJ35LlWUOfByA+3iz2CE8s+3CWB9v1ss542x8GV4NQd2WedM3XsmH7RBt81PExMSZe8MK2
X0w5nJd4Nqfai5O8kUFwLWdD82JEuKeSnTirMKnTMSnups7TacWjHXFwTxs14X0+tSotzPLgwBFh
STE16I81SUdCiqPf2XCXDDo8OFFwwIfdcDKduojSj+HIjPQ8RGI9dxWWllB3/k53Blwx7/dr7c6e
L56N18KyreSS4fSrT54MeVbW5uzRORMLYJCoMi9dXIn3QbU5L/Exfoir6m2tVgtGhFPb/7t8/zRT
t+a/v5+fPx8d9dcJun3VbxMU/ZB4jCVysWDPwx/xt99lITx/Y0tcAmxFkA3GChb93+wdPMABYxUZ
DorHn24tg/+ZoBS1FxBxEAsJKPsxd//BBA3g2P6JTQWHtLXmYMqDrw3+zNZ2ERJuc+wXtz0Pyh1d
m5pjLvLi4i2df1HxMNWp57vxS1iVZ6yNL4mAyG3i6hudWJB7M5vjY1Q27QTB36/gR3Zmt1SyEhmM
Rv1J9FPkMjhMYF5VCUncqyT0BXyY+tewKeSbHf2ih3XKypwNkwbYBp6qWKp9Ocqqw0AeIAY0fTjt
ux4fs7OLPZ7y2sG8GDlPa2miOq3g0ILJ6d+9RCzQlFqRMllMKWCX7wXoqjRyDU5ligOvmYRIQdsh
6tWLczMGV7Pqy8B8uDnzQ0DXm3Lix4J6N6FuToEoT4sssHxuPgqYEQa0bwIsP4TljQmjg2+8+2rq
qkdTJBdrygqzLVGZ4ENwowbdZ9Cl6p2LqirtjVfB2h6vix2uXr0k6SxgwjhEs1YN2wiQbwSkMLKe
ySR1/XtN7ZNs/Cc/ClqWTY1V915Xr7c0rPdtZ/YCG/izllMWA88qYObcTmEDHUCX7/EgqowYCGcE
5tkIdYU72j55EZv3JulsGncryfu+PagOf13TRHAeIA4VoO5zEoCfmsRcHKWpxpSyYW8XTz9G8waE
ztnguz6lHIK2IWDxJcBmKFBTBETWjSb8OPAgj8satIhrkr3fCJk2cOeXce3T1cTmhRUjJljgcYmx
AxclG1xfHX75KP4vdMGmZ/7Ht4Skig8cVlBEDYBeI5X6J7ig8svZr/lQ3RG/NHsKWu+1dHidZler
8t/z7+f55+NV+/vz738aI9XbX8+/7at+P/9QrRkSivoAgtQuNIZfZPEfxjcCngzXCw4Q5D/nX4J+
ZfwPz7D5XTH/5QaB8zJGLSvlG8Dyz/I8f6HeYa1jsuMHTPBILKQ3/nSDEH08VxVNmqsXdC9CWmB5
Y/M1cOzUBJjiVbRmA6zPmLWpP8X7lYob7rq7OcERU8xtd2pl16aj8LI+HsleMH/va/o0y4nskhjb
9CTcjW+LPPJg78rAfpIJMVkTNDcl65ps8vpjUw+vbbSIdAzC7wWRQ4YRL7CGLZclmb7XYwCHqMZF
HirOLnITSwOn1p0/ek3et2yB1jxiq8KnHJqjH2VWK7dX2t0Tx1iOgO5lXKBUQsB8puD5c6B537Uf
nRH1MHm3KGxD0wD1WdCUlZDvVMzvVx58nopVQCWQNXh/b06b2OIfo0pmqzAkbVtRpHFxosLuXayL
tAMcl5J5+bSW4tbG6mIKcwHHEsK+xNbaEvI4yzrH+dvuakVui4B8KFxjoWPgEoErHsI8w4S8QO0l
aRjSY0uRvi4S8zlhvZdFPrYjkTH4CuLJksp8AZH6ySH4fbHJcDXUDocmmIGdd/2XRQA7VPWhNXOU
hiPSx5CNdTrSgqRlkdyWgnyiHXy2Uc5XD5mlXV1DziRsFbuVg/hEONA7eHp8pF75nTWFPoB+xWSs
64uOXu3yCvB3H5rodXBUH8YeOvYIxKA3c6s/YZSqp8ZvTP0mxfp9XsrHlcLOjkej4Sr2ZZK89kF1
V+D9ffKt8o+LJfpK+oJfQwTUz44XWcihzMxxdLS9g6Ve+jIr4Tvc0WqFZC91Ox+QG/g8qxk4VFve
0kW/detEjr4WvEv7KCnXf8+5n+dc+F9Bu6cSPN1fNFYoH/iq38459CagDB7kLWKLaAOPfqV46P+B
4gGhFP8Gz0TdtsPfcotbKDdEzHHzAP0N8vl9z0PpCmAgCBsIePlQbxHl/Qd7Hp6t+odxCFUnxEK5
eYkRQ2EPtJc/KiVI8PrUNF1z78McSlk4DmkQzp+mOBK4GnlXYNJwslZ5Wzfw13uHTC+U0B2SZUM+
LcmbHuUt+u4/IIbbZCroktxRDsBBwB5L6DFpxn1kEVxZguMMXr1tvTqdPZD7NHgZmM0iOZcI3pbI
n3evZVzdOju+xVW5mzndWU9UqQsMvKXwGyKPB+G4TOmAxJYn2/FYmf7Yc34ZKrHThO1XUu28DQgJ
2HQTEf0R2cu7mZTI2PShPJQreW16f4+t/BnhQLaPiwK0eNe6Qx80IuMsKdMwGs5ssdM+wSlliXfk
tELSoXoqJmuyhdJ5N+EKp4IQ62Ji9oCx/WOLH+4CKYpkazLD/VCgD2AiXTltvgOFMQdHUGcgRU1T
zxUf+kbDSxmX3FezB8emugXoq3MpSL1Tk2k2FIohmKEd7KVkV3vuXDKrcjE3Hy3OvHPbqXxM9EPZ
lx3ofn4OJk/g/m9vudqySeMBS9uDRFJhN65oYHA4FIBZvKOrYk49AD1LqdoUTyp4qarg0Q0G5k+h
42xsaJu5iH5YW/lSqy6fG5hmMqnjlEp5g3kNHcN/H4Y1OlbrEuZEjm5X4maaBgV9QPPH57LCzy8c
lu8VXlIWmfA4RhhxBqw+8kvjm65wNx0a3Mj7FHgmdkMbRLB48ef4y4CcDFewjcvnwrWPuOIvmU6g
4a+QxaBR1WmnrEut4yyfK3xdQy3Pg7YOD60er1onn1lQ4Pc+jGkdLF3qt+YlGOWNreQNeGnEvESQ
YGuH+xgStaYciYUMoTHwJNYcCqrvVMlvOsli+MKIgItB3vmVfumqTsI7qDHTZZ8vocqiGT/oPMGe
DZrp2AX+PSGY0Mg5HuuguPRiPA3KfBy96aAHdVtqvQ+jhYNowSAXw8R3YTT3adSUfp740/PaybcB
DJNXLYdZGpdXqoMSF+krEpSfmYvvdTfbrObTU1I3e+ufu/XOTreFh1SPz09iUdeAqXsyFUfwq1dv
jKA6uulANn9+HHsk7EqMshUXlggmMt6gssgQZMKE5hFecnxT1TKTJRFpIfOMUd7603tZA0ZbWhrv
iNk+qvXwdamifNbJe1wt40mjjyLbrlyHQLFTGXQsX4uw7VPiKLh2xZeD5y1gAhZaZDou5z33EOtF
1jIVS2nPGs0W+3YKv4/MhvuxrL9rOj0DhvuGgpFqp4emTQWd790Ivg93xClzNrI7HEcThQukSH/B
JmMvOHvgjScmBqneAR1UrT0x1VbRno4mYh8nHxLgoQz74DCGzuCzhGx0usRLjzTSKJZglygvXFAC
QmhyxDO1cCdFEGmVd8ixufGJ/+wm4L1HsTaN+jJDyCyf+zUk07W25qgFHHZTge3RYR3upWQi7XyA
a714HAoK1RhBtTBU4773+uWQeNGFxYvMwX+G6dhE3yDQgna2SIa0VfiMJEySlZuGF/hrdKYab+Za
QVzCf47LIdNfYFO9llVPcptUbQqC/x3JzCmjpfbTUCHw6vu4pPe2h3INesmZIV8kAgK18W5D1T94
xQhMTX+Z5Py+ehSEAvaJIVj8VBjWZANdzqVDEcncplgIX2WNm54ErWYJuGsUu0HXtvOTT7CvDPzG
q9xLU5L3NfDxXQQcnalFZkjmcMeIW6o8ZP2uEP1jveDowdqSLku+NJcG4QC/bsApLvp1FuuppLQH
eLZEWSdXdDCQ9i6K6zUHbAbcw/MecKsj+RyzNZcI76y+u3DEpTK8CuYYK5hCg/btgYYTzvbQ5DGX
8W7FlTNVhffBwlti4jPpB1TZhFWRlx7AlaTmM/5w1ATxmh+hDgdg3Zokp7MU2ZwsUO4XM+9iPd/A
TCBpkkwCJUDxVc7qdmxiXGJNcUXGJB3aAQa4fY347HZkqp8c8BLY9EBgCo4BwqrxYzGOQz7O6jN8
mHPl1fgZx/UZEcVyj09diPfAqlPktnB30PZt4PwjDui9b5qbui1tSgQ90kp/7CZ58GS84CoBfm6m
92A7HznTXyUGXQp66C707QXmTZFNKiwOxRr0GfP7k/AmjAQ7i5QwMN5lXZ84c0k6CZVVCekOA5Nz
JsPhWsvxHpvIXhH7aWqDI8pxwC+MQB7dGC672oe84wfI0fC6iA+ewL+NwYMgNjgdlOcFh4iUyQld
QTwbyubqG0CgSWzPowJv00X8HA/Lx0Zpf+c0hiCOrL0nV3Hw5uDSKB5l6NyA34lPGtp7yH0UwKj0
BpDD2I3b00oamk6oWUod7QqEuOkpDOV9OVafPCy7e08lKsUhhwOOzccVF40UT126J/20IpJGkW7U
yzelxWfKuuug4m9rSL8tEezXIXrWtXjWUFJyS+WpaM2zr5MjBTU4J+RCEXilxCGg1WxZ2/lVtM1h
jNGYU69nMcoHFPd0Kbf+kwq3Q9xje5z1ZfbjVv3/OgXz/yE8/1/tyUwr+6NB+n9dvrce0V+Wb0ah
h1L00UBs3UTMXwAH8AsQSn/C8L+KrJBffUpQRAEFAD7mVnX2m8iA50QE0GRBJfzk6/k/Wb6RqPnz
8g0KHxQ9vifYQEAYfwIceBuvXAHRvaJZDPHurO+0f26WIDyrFWn4rEI9mKsEcPPFu0kU2gkq1k7p
jPlbKs9PA1t9WIS91MnyNPnLjSuAm5sSaiGSX4jwyRXJaPtpbt1d3NITk7DZcGVNu+1evCznyIxR
tkCskGszp+0wIOMMVraIMbR7St9pImw2//DZZe0yxMTIrq891H8lGNVVlWRhg8Q4H8oXF8EiG5rQ
7bh1be735kMYgSUOR49k6OAAx7T6+DjbNBTdlPWq+IyCrdwSqMBAlXOcOF+jEYpt0bU5C+Jv4F9l
NkXyOeqwFUZxdKILmLlOximyxs+RCA9JbNasmOm+THq09wztkUQTy+FGHocFbIgLpx4R3eWr08XX
1i5XX2NdZuhfkT6XWRvWh7peTglKJPbBMgN8nODZJMJ8F+jUy5dAPRt4niktp83isW9RQda7oXav
0rDiMjKJsgMGBqwU0Q6HTfBIhrjPQ0TlMwn7G9Dxwg/zXF8C1k0vCZ96LGKoztujsgFmWCx3IYq8
9o2jftYgOb9LSsxFwXH8j0QNt85PlrxGywmsKGnyovFcZhHtSPuhLneeRJzf+bLYKX+QF+nr5pDw
2T4RNq2fEIUoc+0jAlsPjX8LUBwq1VzXL7oHtCzjOHqehrZ9HPqguy8jIk9J0C83HS8otkYMJkRU
MQ+9MKxuihk9c0hoLzdjvzYkXVu/+LokcPAQKfS6kyL+Q615sCvhhn30HV74Q5GQ6ItXcfEe4hK4
azeWZLZwF7GGZa5F9mLYiJNpY0+GHtlnwCjWrXjVZ1i04mYArIKYOs+8brzrN46l2IiW2J9AQ2+U
S7zxLiHAl3AjYLrWxwDYmBjcURDtF2m98TJqI2eijaFZwzoAAAeuJt4IG/0DtiHyKf5J34DD0RuR
U29sDkdBwClCxXlabuSOl4DhGQDzLBvVg/x4vmycz7+H+Q/WZKs1+Xut+Gm09q3/q1a8fdUvx/gm
6BIK2TdAtSNO+N+PcRSbYRffzs7fTvjfvDIO4QXicQJPjAfRxkn/fowjJYXKGLSZIiIFxwzg9T/Q
UPCUgb8c45vfBscOlBpDXBE/36+0yUSwHnUed1cW8WHve43aDaEP5bSmyJxcEr9aGO4VzPMyVihz
OyMk4rfswJJ6wnsfyqosfXazKKz4U0VUOgIrw+DCoeAo4oOB5XcR+InjMsHzJSGK1KLQepfWCXYY
Kv3M16DKPOZ/Ux3uBohOPrRS19ChdZN7ZnOeRXxdk2bKlEYyWxj0UiH8Ako2gbY7AnpF3xl5qKnX
nCZ47nlbsB1KX9jRixEawgY5nAJ0UiaweRTLpKkfUQP3Ntfdk0Ynpmm3s9OPvFOFvf0seNNkq+Xm
6o/RFwJ5l3f4LkVQ3+LR1TPu3WM+LKrJi5mDP8NLQwlADzE9+PX6qR3NR151F1kOX3yPHirT4odd
Z5IplLiEzOHjP7Pb1STfAXHUmXNI4CdkukBrBgrQzF3mjRZncrTsOSm+1ajNTFmi9wUondjrbhUx
z5UEfx5TU2SybPvdzNzXVZK7QPb4B2zR6BVqMlAZXXI/0MRzB29Ubkue1Vnhz1PWofwExyVkXX0g
AAl81G4SLNtjwPdBv76tCco4WTxd1ML6LO5jYBeDK8HVDCYL2wpkRzKbIwdllM4k/GzG5nb0KCKl
odlNC0GJlXsrYsADxAAsKcQr+oDex1joPK6ZQrxlBavv2+Y2ach90bsojaPOP5rKQBNC0wuC69gO
PJGVjY6yHkTFpiScJuzxVaUfRr/1QeMC90maar9lv5u2z0oKJCmIHhbU9FhlOEAh1Bj0tsknD4t+
gq0eQXWA0LIWIKrc6h/jRsmdbgdo+aKwO9khkV5UIGkEyhKG6FLMCWLg3bDklslX360is5N+jRfc
8YbFk/mWnz8W6EPLZ1vXKCwJJRwBUB9+sBroLCIEeC+e4iLGewoo+pG07a3d4BlwglhVNqBGbmgN
BWPTePNDBOYGjX9FqjYMh4HHaSNyBARrcU/i10Vh2Wg8AnmtDE7+hvNEG9jDNsSnAuujF++Ea1ef
OlBAYzWi8YR+NaCDqhCCXSDAJbHgDsUJbdqDJJpm5u9ATPYp2lIneEDDPQV3VIUSIqgpjxRE0lzx
O6TonuSGKrVglhpgpuBwgDElG9BktounLaKXQXcPKIbdGnLqt2oFBwWO9LCO6OQkGyM1bLQUBzal
N36KCtnsPFN/VkCrgr6Emw3YqverL2qjr4KNwzIbkSU1vR2BaFVAtQIgWwlvfQQn2C4CzFVsVNe4
GVIb54WG1xcL8Cuu9I3u2yadY6AqcKCfLdqB0nrjxaaNHBt+MGSIiyAKx8MrqXXiIRC9yu//jsUf
Y3G7DPz9WESZjn3761TcvuiXqejDT0AH3nZbIX9wFtB7uMVy8fTRmKJ47hdnAfF+hnEJsONHCHi7
9/x2udmej8M25Jox+rMV4B9MRVyx/joVca/ZIkWIKodoaPvTVDTLgFajkl6HJfQhp0yn2YVdHlSU
woTq9vgwj1Cn3OeYYEcbRPgNaaMbi+RazrbikmoBIGz78oJCYOAAvrr1KngRyWrGfBmmu6WPhjzk
vc60Hr86rl5KKXZo03msw+qgnD0TSh47gwRx1TncUgwZgE6TG9WiF0h48ceh5jpreGtRKVJ8xI3r
M0NfEtKcK9A8tPUyQa/BHO14p89x0wFWW+lpnQooqTVJsqlcDuhW3JHEvIMgfxxnwc4KCQ703X5N
pMO9aP20gDlPa9IiQ4NuIsztVuXb3PEXfORiU36ag/FLvUwhUK3ySEYNeAKXCOSpaJ9apDkxbeld
3Xbnpg5pOoNl6aYSwqWnkcdskqtse+SeRXet2GTOS2vRAyKRKY5bbAA1WJaM+6K4GyLt5wi0rvjA
hus7BmZ9N4WQPCReXFO05QNBy0haDv1bCUr7tgLkwriHiCEx7lCqIbkOQE93cTzjtzaWYdrjXM7q
FoYCQrMlFpcgOuCyJdKoR0lLuMTiwRc0OKymghCKswoRbQoKZUbGQ7YUWp5rqiOlCw4xKcmhKre2
wBXdd9GCbhqEKFFxAzQWORSYqOEg96FvCjB7tNmhbpscrKbtTtHqBqT5ZbXVtVbByToBXbBN3ou1
itIqbkOEvSTN3eiqHWqTwbRucTS/KhO8EIED2t7xg61wYajQ5nDgBA0xrehR/4dupUcYrclh3Iom
QDRXRyRWinyaIDsNlHoPDao00nbF37RboiiVkR/tE+HZrHJzkjrIRzsPjU2oYKnlmSGQexCk/ODI
cD+OvtqVHrpotTVfdYOrt0QDNqBAHp4NhwEtAGClbt1eIknUl3lg1UeFeqp0KLk6uhGVnmQROm0K
FYA/RWa9NCtGM173lPbeeExm2MHlHGKdQ5Lse42ID3D5uNhNovWOvkUuj0GULBQyvCiqSVsOTQ6F
Zu2mi+LiV81J3pu2yaKpiiBoLQ+Q+8H6tPVuIFWAfl3S3KHgzh7RgfRu1frVBhOqMUwwpg1v+luJ
PpuMLhGibV10itxc3ERePB2SQoWPxBs/Sa6tl/t2XIpDSRaMHzmabzN+qniFTViUIJGHpOygcroP
ATTB/YKbduZP/Ix1NUIlsAtSPo0IVAzYzlCJiD43sZNKeWcv9I+S0o8TwsMZohwf2q46x5W6x0D7
v+ydx3LcWLp1X+W+ACpgDtw0E0jDNPR2gqBICt4f2Ke/C6yWSlJX1Y0a/IM/ogYdUS2JmSQTwPnM
3muvFcXG0/cS2PqhK63+CdP9x2DJ4ygU1nFs4D0o58OxA2a2c12ZrGI0oqswVY867xZV0aHvxVe0
u/pam7MTUHlt1bv2w+yAbowTJJ2yzd+Bl6AFyfN9mUzXSO2ODAxgDS7DhIK5+zaNNfhWfcSkYSrH
VU9PDo413xctQhC7NczNNPERanV+2SnhbTYGL2rZPVeCx4OjVhis0uYQD9rrmFoWWIKFctwy9tQ6
DTsJXrdUNMC9W8ZHs5bj4O5PrTM8diQqebYirtyRsrTM7WLPyIt/KRncdylNQiXLQ5eoOzBBxboX
wSZRy/oS0vFEhZSoqJhdT47NRxuw5TP72IPUZz3j4MhNH9EvFbZ8K4W9LzrzCTqQuY9zKotm/gLT
EHJfOe74obNNpDM7yrXZyyz7DNF5G7mlgkt6YMfFHKYvtZ1SW7tpYK+jx/Af4+F6EaZnegsnIM6+
SMdl4G+ctbDaKpg3Q4h9fKbrMdP4/+Zr5MTxuo27rzCmr0CASr8vp73MReR3lJOKSK+hrCmcBR17
xOkQyew6dxVPi6O7DGxsZBU7u8tYtebxXRaDj9athi1Ca6/yiaoVimScrR21HaH46gyE1Q8EbBNr
o6VlaB29daAupKxDreJGXXqLf2ujz9rIRI3617XRf7Lz/rs6Wr7sW3WEiJbCh8A/W8VYpi0glG8z
AwjqlDkMcE0AwmgoftCXCbxtGrovQSAVxrOlpvlWHRngU4ROVhVEX+3zr/5BdbRMBP4QIaK6IHeU
chqRGXyjxU73c200qkrYN03RnaEB0Ux2rJlN1uz56offy59oHTX1vyx0GMh1NoLQYFRcOb9yqTU8
1rWViOqsdqZ7n0a1Yq1zO+PqdRzUU2tDFp3Yt20w3yY6FD6oUeIxcezwuSoT56JBcHHQbBAold2Y
41U0GTfGVPZseKbQbg99mrTGSz/WloOptO57bKK0cr3oY8wDSnY5JFmr+XFVlTpYv6zD6quEAQ/U
NiiemCm7vunMjYr07M3MxHC2FxSR6Nh1rbUqzaZNGXCIZHAalKwtsRLEQ2lcqr1mpsc+Sy4bmTK4
xnwHU/OKI/rDbKv3og4htap3Ng0UPO6tqVi06SgBMJrHvssDzc3ZR+f7YJpqz+Bk9JiCetlUf40c
JFmVOGt69bUz+tuMhs8fRJM82zBuQEuk3QngSnOuW9O6yGL3VLk5fuyZ2pKFl/FVQK7dQTxTgT6j
eM57XBpxppi+PjgntArntmgHb9ad3gvjmSKmsO8nTXnK9Kj2YBXjOJcy1G1mnHrEZRGQmeGosY9c
iJeQ+kaD3HLfCGmMnuUU0U2LIZnHGcMId1THJ5HFDPuFTu/Xph3DaKVBSYCvvLakcxEpmnb++2tM
/1UpzrW8KJjYi8AwNrisf76W66mpw3B0mnPr568IGrTb+ZYZ/apey12xYzmHAcUnPcVv/GJlXoiN
4eu7YJ3+H9f6L4rNT2GvjYDJtUysaYyffuk3UHoPXQjv6hzo4QWy7nGdhnWwqgbBvtZOXb/uA3QH
PMLjVeCop9BuSBLgM7LSGtGLDRMkUKcVCJMXCfFu0+o0IVJWUH/mFxuPIrsJJUIJPT7WGTIDvakn
junE8MYB9SCZBDkyydFH/7QdNDapqMNr4QQQE9zdbLCk1PWtEKa2qmXDReGKNX6QXYKKpmSvuCrV
ioomPOpY09n0wwXA74WaMoFm0qMsHTGF1WGSUnqG9yHTQDaYp250OI+dCjwYF5rt1uxl1OT27z/i
nx8i/GbpI/HyWTwvQcIZ7i/zTXcmtaXKg+as9nmy5UGQ8cOrBRqsyDdLID+iDl///i2XhIsfnpD/
/Z6/fJrKSCBOn4btGfIqunAUAR3Dr7m1gUB2p7IOGGNaDELtGi9w1jLAgXp/nOlMVnAGjmXsPKkx
2EhgAF8D5BhVXZ/goF2rwfxmhvVLPsS1Vxd1dfj8xv/dyS7u678+k2/i/qNp4/c/mVksX/j9VCaq
gWNXZ877u3bxj0MZJKHNkcvQghLAVfm8vw3yBcMM5hgg5i0XT+fPphcePZxUOB0W6iDRU//gUP68
jn88lZelgM4k0GQ0omMeXa7JH0jnkb7sYnnunpqyriv7qLBvYxjnMsvP0aeIJL10O91IvcgKaHJg
Pc0bbZoQwkwyNi8dlL2XXQkIAoy3sjeh0546tHveoLfFIQ/c/HYyiOfpRlEdyWUs38D9Dhd6PqS3
QiOzCfQPrGE52h+IvcWu5OGx0ZLGxHtYy/IlYqHhgvdwU68ZsDe62TbVNQ6TrDC/9NgsvipGPLOD
tGLMmlEBuGHSspXquLgrLChNeqIjK2H4HEd2epXnXXCnk/1z01VKFt2qCWtapNK2Vs/7uYp4nlDI
OpwzGnRCnTfs1L7TVz2rGqBedLjl9Mo2pL9uGs3BjVk2ugAFYfXqmdFy4ucmvOV7JZnRyNd9atvr
cdkpMsMA20zfMNUvadeh2ehz6UMK0T0bI2pTQZqVFYOixfqj9o1rHvoKV1DwaRDKF68QqxFaK6Ve
LERTXBgG5vo22U8Ru1Gs4eIGdWpv7/TFiVRiSZJJFl1UVmDMJzOp5d6pnbi/mRNH20yIS2ZjHXFh
QqJ2Ad0qvxtO/n0iLKrkv34iEOryyjPhtf3vOn35wm9PhIVyiMuDO07g//6UQHyr0/kr1zWp0z/X
d5+Rbt8eCc5viKmZYVrYQ35f4H2v0+3fnGXgiGwDkfQCqPgnjwRjCa/74RyiUnd4GHH6WVTpOgfh
L9VNETqMe3oHESZ+pV3FdC8KsSE0xnDo7H4ClKC3R2hD5dZQZ0BbY3dVJIJBVpF/aSjDWHC0O0Bi
pu8azbQOB8tYJSKq14zQiCDCSuxF0lG4wy10w8OYX9Wh+xiZMyw2JBjrUZ0P0LuPjSkW3A6DMSXa
1lP1GDhhuZ5r54S0DQdBmfa7LpMXYZ6gExTmxezECCeFfbJ0cR+arNpl7Fy7g516RRNfS7V51Tkz
gSSHSLvMajWw9MJl9wnrmU9WYT8SOtauUdc8uVn5aI39wU2142Bnd4rJDoYF1hqg9H3RcBYrGsEA
wXCwufmKItloofKs40QNKcWlCnevbapjZZdPePnPRpSjOjMJQRtNBH6WeJUZfLRiXLx4Nlska0bC
PWYZDKnRQhFcT77jFJ3f9wjXgiS/bIaR3T46uDLCGg6a7zwsPUI4D9oWfccmsWqIgz129ZRKTNHn
KyOw3nRZ3aXdtIGKjF4yLK5GYW2mKN/HQMZRvbRXVmffR3UQ+pWYnqxFnBwPJvI8TUC/KuBjGTFQ
nEK3GUzP181Y2Bstyi5GLfuIZlaKaAPvrajRgGrraGtL9zLpbf2cBfZudMLb+iyivQXmUR2cgzWh
8KG238Q2jB1RA5CWc+JLQ/bbpnOeIouZZFcX+iqD74TpqFilefmW2lbpJRKppl5rm8wBD60y9pbT
LgbFtNSLX5rG+KAt/GBuHu7CWpwXtDa743A1UcH5SFTFg2GmpAhMDsOhIEZxVV/kprXPTA1efbRp
nBBGIFEG/jSO+loPrWnrfJpUCrOT/tAr13E1vLtzOiySQlAoKsDFuRbtygbBKJRap/ZlwWmVgP50
Gr7CsR1PCGenLxzHshlfgezfoVnxUKH46oJd4dLlOnIf0f/yQF6IkAxoaz92Q5SGdodkEZA0AzcY
kjJjqm+Y2Y3bExakBwby9GiPYPAY9K22yhcWZRYm3Bc22hOEocAOF2YlIix1oywcSxVa92FCCU9N
/2aEsC6JeLzBZY4u1TKafcWubRXJARr5DLoQzye0zBmBOXdKspA0YbVcBaA1o1xVvWqhbVpgNzPw
URIMZ1tex0KgIIbQ6Th5sB+t8jyynV71HPmuXr6zygMjCd8zF3nl22mbesqopB6cJPCp5gI/rc3Q
i2ZlC6UxmV+Qfb73zTFJ9jTCflzSfdQBl0GfB6/TAhzVp/oULAjSAhbpiO6+gALGRDl6UML0I+24
ZXTUjn4FybR1cagtaFOX7BeQ49kdESxf3YV/Go5cd8aCRC2L0BfjXNM2czADLyuOij6aJw2YKv6L
+jz2UJsIHUl8250Db1zoq10QlOuwgcgaDf2pb1JW3wutNXPj26jhajZFqO2bDIuHCPjECTogLmia
r9lUWoB5aJTavMdKDBbWYDTCHJ4bK5pp5ZSFHgsdJtj0k0y8Esf8btERL6zZlFwQeub6OhfGIQNH
qwbqXbDQDjW9vwgW/qExzyMC3bJpEtRvWvOUumY7+FZbWMm67ZJD1/XgZGRv5PomHoICuFDcItsi
KvP4b5fwOblbcC9/XROcPpq3DxbAf4S8/W6zWr7qx4IA+Dg7yKWw/4Qifi8ItN/oHCxCiDiHPwnG
33sEugfUPkv7T5Pwu2f02+DO+o1qwLAX4yj96wI7/wc9AnvV/yoIMEzpS8rhwicnkO7nJsFQ9IEk
iDS91FQhmwtXxpW6jvtcKI9OSdibn1tNPiFUTOprjcO20xEqN/lu3O/VgL0kZXmENj+RzgOJFwzW
4v4Oe35zUMesxPUSJuPKkkWKxF/gTGmDyylFoW4mrCkrHV1+POQ3ZTpdjkrWI8zXXxl5m2uzSQ+V
Ol8RhUC7EDQPo1JsK7OcN52D81Id3i2Yf5VR8gLGXO3C0dz0WIh2onWBYyXwHBvdR5kCHkZTLb9C
jnEfhPmVIgzuCXXCeQI22CmD6yFPOLXJ0tmFQEiw1zu73lqMnykaPUt/FkhLV0OJ1I/bKWM7W/e+
a4pkR/pR5ruIYYDhBpaf19FTB8/WK8wqZZMKg3WuVJ7UEbhC1DAKz0FLRrsI2jtk1YpQ4JVu42Ya
MyXboZSsfDa9KKA0LTuoNVAdW9rjo9WDiy/tfF61I10Ztlp9HWqxdkaWeIGRTL+iNYIl0IK6smpb
En2TtJuoJIaCZylvrSfOY0Byyw7B7exNEbFOU69BVR1TLJiJ1nBoEHpzcKqGEi5H8hHyPRR1fCFs
xYJSnbbk9upDSmodjLEvWm0Ir+uWGi9JThF1Shc4wDLxEkUFgl0RzhvVzK9F4rL7+NwFGU36kZXd
Y92mx1JVQy+3cXUikFnDCwXJoBADq3MhMbk0q+wGN9dFpTfPupIekyFG4Kvnd+BzBl9Gzpuo6is9
tM9FPmIHjiS9n5lMMQ9EDtrknJtRMp80EzSLmg6EcybWGvNEsE+naN/lnN1jwFZ6pHn38zl8m8eB
ARrr2VXlMiEr2T+vTLfAF9CYb9QCDU94NaXXk61nMA/rNLRCOSTPxWI8ycL0Ylwt6LYqKIyBOEtW
ihigzHKnhCRJqE7ojzH/MuF1I8317Ykoj1SlUsxMNyUjCXEprJreU0f1bJuA/dPGZFVape2FigbL
ike8Nmam+3GGyUPN9Rdr1FgnTuXtgOEGKvYARrJgi1MzacPUC72AET3HlP2RB+F7VjoZBpRsLZMJ
W5iSXJHTBq8F57YGzWnNspEwJm3B6ZfEGTtc+ipuQK9QoaR5gSnDeKXgfRtYBVKXXxStLO/+PT8+
zw+V6fJfnx8EsXUtk8Rfz4/lq76fHxoxFYyjSeFkHL2MhL7PmHSdmApTxTPLrPoTT/j9/HChsfAs
h6qCyVP9SfMPcwAMgGHTB34y9f+Z5n+B+v7cUNpspJwF+cK34LAB+vn8YFYcYu0KxGUK8mLaz1aJ
vqyPDBlcEqBjoG5TCGzbgQ9lQ9lFt9MigYPsWdF2IIvTAitekWeY+p0rhdeauE/VYbEwLZK6Dm0d
iRghNNH4dV5kd7kRtV6DEi/7lOShzUsWjd4i1qsW2V7vkFzjLFK+2EVPA1MgQOSJ0A+Tbu9Hi/gv
shA2LnJAzY4fe/SBMTpBaxEMlqNX9PM2rsEj9IukMEVbOEPLLtEaUkCz01rkh/oiRHQXSWKMNtFN
mmvL4vTo2OGDydavUE4if1wkjcRVFZCiMrywbf3VQPeIAk/iz7R9OX3Q9JneZNZ+v0gls7w4jYt2
sgiR2i1ySgHXaE1nXq3Tioe5UdKoz47brLV+PBhznPg62kzgTJuu7A8amk0N7WaLhrM1Wr9B04mu
gWcH/vx10xsfkqVuOkAFd4n1no1jwdpshmsD1iEAY2ijKGQx7Cwb4iyrdjkr47FM7jJWyFIW11Wj
HiJWy+TjkLLEA77nI+2W7bM6xk2xlYrmbByrutDM/AvYVk5mOziibjiSeQaYC2WHdcGwo7nGk1cF
L2R5h7rfGmVYXCuznKptrrFtDtVUfQLLiJTU6tM33TSQSTQ8fPTuDWfGxtbdxcPGX8fd8EFL1a4T
fAmrvAdOO0VnUQSOz+Rh2tQy+joorLgTZ3qmkrqT83it9dqL0QB9K+fnmKjwtWW2hm+H4j3Wx4tB
DaeXBUu7AtFJFqXBQKHnwDRVSO1mc00g1M5uHOXY2fXdFPNjwdIkdiF0LoOxBdIZzZDPTa+LJFKC
1HJ9aU3qbra/akkp/IWL0UuyrfIKzGxG1loasgYxlZjoREIoKzjTDf6ItVJGb2FazyDZpnnjDItX
lPgWXWmf2RjuSm4b9MMAyciaY5fZzgDx4Vto5DiNgwiIBVCupkB5arDVWpWhoThI7k0ouyTVsYxr
SX/hbgaoAZXDTgHVyfKioHvgCK6o9ThCIiv92kbyssrFa98idclA4adTcnZ09VBhIVkxDjgUQ8bm
iIN3neAPaSLyqRPZD9t6JNBJRjQ/upu9FqnzPNuln2fmnknns5Ea1e2sWIxHIoe4S928t5XodtQ5
3tzhqY5EvK8idz+P9QF2b3VA6/xkoaqhioXtY+GpdC4Vt72OVOujEvM5z5tdWnJtzhaWi0orOo/M
zJu+R5VCzFjYxdsmiVw/HfE4c/dYL23f7iM96W4Cp4+Iucw2KL8O1oKr+/do+701Ysn/10fbVfb6
9mc+CJ2v+n60MStVyZa2LCQ6v+9IfmiNQPgCP2Faxv5z8ax9m5UuPgiL1kdF3Sk+efHfZ6X4IBAh
CJQBEG7Y8f2jo42k9P8+2hA1oGmgM9IBAf8yK+0nUl8kc/RLOfbpWsj0seynG5sgNz9zw8tcq5M3
sFTFKp6MO4Og13VvKMGtYw9flQgsAwtIfP7Au8k79dUic1a5jVYvboIvTQh6cMxQPvVdccPqI9yq
EDq3Qx+cnJwHcFTZXzojvrX6+THKJYdOJrsVXMP1WEY48u3qwqjanFeMmBy5xQYf0y3vheycVQ6r
Y/LzOuRkidNhZyc7SabuvUBMDsUyfE9a5ySa4FoV42VE9l5pa6TJ9dO1zlJmIxwQNYnor0adm5Yn
Nmp8HV1kvtgFcO/Nc7026g4ImmBaOVTaTouonF25cENj6fgdtbBvpMHWSjMWwUYOaKwSd4Rs0kK4
Xgfep6taeiAK3TWIxj1+DwHOFw0jQ6kH033PywBsPxEVbX5h9/KpUyEgVzznV8KI+1U3BZj+e5aj
5jh99CQf9pq9sQ3F5myLHkINapHrKOvMyeqVaBgcx/Mu0e3LIbZRE8AcKpuHUjG/dN10oKYloQpD
tmGj8df25GxeY/aHlWBaNw6/oQAwPya9hoTT7NwIF9u4+iUdYUmOqqtxNsDOd+3hPtfFc+K4Z72y
iaDBo7ypOo1kvtE+aIlzx5wOysKsghZFCEi+5GE2gvtqbM5Vp+BLQP7fZtmHUKKXsVfuKqM7jtF4
IwkPxIvy1CnJWwYfc2WaE4bDKrRXM6W9r1NZkONyCyYpRgLqnviYjkNie3DkvEB81SrTJ+IRtgPr
PUbWraeLRXGf7KzEKVdqaG/nBAR0U5QvRmE9G3k7rYtpfBUdTnkucvz7If07GSFHrc/eA65It8Ft
zDZgq2XWRWdNu9KS770iGOJGxp1JAxmCS4NIWl9pKh5JLe1HD6l2tGoUspOUqENOajjL5it9SCS/
pLmgPTZJKFiJXL+RVuWzot9Nak5+V4t544KEtPCMnhgFMn6DPYNr4zmXMcwlSq+IgMzVLMU9U8To
ehoadx+kgBZK/Nhbej/asG4QHGxa4k9dRB2nVF9BeUr3OGiEYF4HUZBMPtm79XzfowFYdICj07rg
olNxWwQGJZQSGg+xSEpfaPidyDagBRMAXbFWEr7IaZ6AvSvc7VQN5LQg4fLk0GQXMQLHRTejMYMw
nsveTJDXcLtlEZd0MRAPFY2kmTNAWiAwXui4461TsSeA1no5RvM76BMsIaHjxXG9UZG/dmkOSm/U
MEoCP/KW6OPMts8j3AVZQa1SncfYLHCRYm2RDjnbUu5jMgIa0FrZWF5lcbepemS9s9IS6NmiI+rl
hYiK8Jyl430qiFebUDqj3T23SXM11t39whFoDPYrYTB8aS3xQCbMU64SoKEH9TqBswIXa56xhccP
qEbwz8zAieEmn4egd0HuA+1Mo+yoDvOWP0XUGCfMi6X5XCmIdfVa8Rsj/Ur++n2V2A9VHZ+AIX5p
WmLBVcgzlnQvrK6EBFFHTMfrAf2JhEamBtoXEqBvHL048uFhUk9oVGVq3+d9D+QMnsraHJzIrx0m
67MiCKWAX5oQPFFKbqaJW48lz7mNiPEJexKvI3mTdDwFdO1C1ewDo5Fjama4nlxbrrKBoiXocxIS
Ytwknc3gQ6D59INUfihk/G1Ktwbp28H1qchzLgJXIcOmm3Z6QWRoGLwqU36M0vlemQxENuP0pvR1
cjsxY2L7NOyY0+Pxn9iJ22H9xsaD3rtRq3WZF/exA6W5qt7imVI9RAB2NxZwngv93ta7nEBNPo3M
Jp6hYxfiBCAJrWGP2C3wAqvDS8XpUMk3Vx/AwecZ11qbYz1bZWqoNBeNqsGQZylY+EgM200byNZ9
0fNW/j8Ku/z/0ObPbPWvKyLvI/ufM2boP5GULOqQ70WR8Rt2cFbBPCA+cwx+6PcFjhZKG6YA/0EC
fiuKBAYZVWUWgJ5zqYwW/Ol/5sUCYJej2rD/lkgcpG3/yBy6SKN+lJTgTWWDjZjUUV0caOovJZEM
uqTN5kK/KlA9q2l8tMN0bfTT70UzMaV/HpkJluunN+Inweq6wAzYlhs4eH7dU5MGn2ICSIcr06Sn
kYQPC9+cu4s8ZqZW6iG01sFG2izLS3fqjnVacRM0EFKIM1sz0YWo02jpoW9M18Ndra4NNC0rxawW
nGHzNLQVZHMnou1d3CtRm91WvCEo0eyKe44mwQZ+4tR6TcxLj9sf4wXOCOdQw0138e3ABmtnniUW
jo+02ARWv6HSlV4Ha8Vr05GmTDwqjn1yRQfHVTOeIpGVazbEt2yobpR8PCuKeZaxyk03oAYH8Lkn
XZjHZY680NUYVjuIXXgkefrSVnW9vCakeAPI6NF1mg8moC9hPj03y5427Wx69im+MpvgYNl5vLFt
c2e5ARToiKQjo2nuSyvcxQ61TxZFB9YKX4ohSjd9rlYYygEQZuVYeQqqtFXGpmyjyflFy/PF159c
CgfL/pQRPw4curbSFwSa900bnmCDd6tSoyquuy2cCUbooYLPh+T4gUoNryPZO5Fu3ioTEthcEhNk
uy+uZEWKEKer4Re0nQAChIbfWQowiCpblqNfnYlltWqZJ6XvaBoLbEY1oxcNWaM+EF89MesZIi3e
pFp2RVp0soFktp1zcQrDIGTmL7Zuz+82GpiJgoPtvap2XxBE7TBk3ZTFPHnG3D7EFpTfkOTglSGz
23bo9ihxe68x1Dc1m2DiDNNDBvpoOxrzpQ68HbtK0hNy3Lxrmf6uDxkjFVhwZebuCavUmK8MW/xY
13nqeKNdWkfbmKn6suJtTqqnyG6jdW6Vd0w2ODhqO90NnbG1qRd1cnWwW5BhzCVGPh7JOr42RvVr
kRCrupkdRU5wvkYEqeqYUgNPekPlLsA+eao9bJAsLd6KZrzIMpNwtklbzsZ9I4z3AZpWbGqbfmZP
vYIK3j+kprE4QAZYTBCEl4EFuVNemuh7g0WrhplKLlt4p35lPnejpcoHsQnAyui5S65GPD89pI5W
EsY3eOWQanslN3EvDf3RgQbnKRiAzDjFbtH28RIQMjxbid36Y1idwlgN1i1RQpjJV5Foj1UCLVO2
APXk0xywWx1dWqlEJVu9PKUWt6xRpFdMCTDEKvs5w6wVhVFECTRhq+vjd2tAgJUMiUFOlnYTSWs7
AhpKmdwhs8QBY1VPQ+OTmLmHl0Wcu7KbLPt1TNSX2USwjn4cTlv2konbfmjxInUXVRmuMoXJUQHZ
eMNGPHKFZGtr+IMhdiC1No0WMYGaq35r2IncqBpuuLAXL4UgXWAsBy9QGoBwQ4UFubicyuG5KRNc
UZN4kFJ1TkCSRX23gDNCh1ZsR/aSlv1fj9GfnfzLU5TjAjIAz6FF0rygZ39UALZta4hgsqarAWnv
SmyDi/G2PO0TuVJei0f2TXucJ6vgwHSp85Ktsf/hgLv6/Vz4Mfn4593if94eSKSBmFE3afJ/fvsm
6Mxesbr5qrdfq2DvqpJm6EUp/y9fwJ+9j67iFoCAbAn10zXwg9DRlZxZbEnmKy0+RtBV6KLccE/m
y+rvf56fT7/ffx5+n5yBzB1s4uV+/nlqJCBmp0XqlWUeGgsUKysr8fj37yH+7DP78Yf55U06OvBW
B9J61W/aBzZFfr9T3x2PZqk85Vxjqxt8+qt8o+/uzzD7V+f+FG8eWj/wr5OLYbUDXXCUHv/QKzf8
z3/4++9P/0U9/XlNLfFFNvgKtgufuvUfftlZR/dSTKp2hen0zAjBV0/aY3ihoyxZd960unjWtuP6
XG+GnWmu8wOD62vceBvAuuvPb+VfJaL4263RbfzRNH+yNVq+6nsVuYzWND4f1L9MyBfjzw+jNVSA
um0YCwl6GZJ9qyIN9zcwOQiXDMAeizD5jyqSv+JF9IU0jidCUJz9I9XB8q39VEfirUDUyGt9Tutc
45cnAwmweUSaqnpJ7cr2NUcoZmkvZfiOIng26dcbqzjGDrvleHD141Dx5w3zG4tnaQcS3nLCm6zr
XiB3rtVJGbcAhJ6Kxtyic74xCh6vLLzZgD5rbJpW2Ygg104P0rTbxZqEtijsmLwUdwQ81WDj1Wxd
1+x11bh6RpcLm08/mBhsmX68zuCFtWR+0lGBrfNRgi4t8KYk9jolmaXtao6eYn4iAGdHQRWvRSqv
Rjt6TujYZqc8Av94Qqedr1JT/6pAyUME9JBqqITgNW/YfW9me76KXZik/GTbyk26NShOz4kZDRgB
hEQ7GPaSLTjaawZkhdjatbJp2p4ZSu481AMg20pO9n7uEEsNAdksKqVmMig7unHSVRg47jocfKUY
9zoezaGyboaqu5lk3txn5vSaVYw3rNq5CCP1EZLLwVHLfF2p4ylMKxN8v634ZlLsZK8knKjdQYh2
bxHDC2XVvJi0dwJ2X8Kgu58ck8WyoOSCG/uSqgxQsto4Zbb4MGxyEXGx3X8GvQyq6DEsBhvZhsj4
ht5iiTTtkhZdnjP4FRSWruV3FoYZJI0pTNjipGwWmrMcJQEOAUCHLQgO0OGyxJo+i0qV+9Jh2S5t
d0IkJUkiAD/WwPmMRdD7HIXSfc36euD4M3UJ008d89Vo4OJf53oJ1iMTWHsiDBjVMkXraoa2pfFW
RLhbiK/RPYPR3ErXS/5rUL1hbt+soBNrF7vwEkiKni/xpgKhhr200qTL3NhzxXzRsM9KhMFe6hWv
oTLZUaKnbBTPhTMOtAT9bdWlhLPh5qImNN+Tqv0KYvJjls20Ysn2EALuXqEHIhpnnOBf6YemUGKf
+ZXhC3OZ07I/NNx0J6LmmZ2j3BiKyHwzcJ6JJyZUWlg0GPbwjodzWBXZQBWYw5klCscBC+OGpyxU
zuFz1ntFSObLmLyLEYZZzvVSgCJP54NVFNukrK5RWEQ+DNX7aiGCWGW4zQCu0pSSN6pajwEG663J
nzja8BjO9XUcZOtJKO1xaJ8Lk8I0mJTyQAzzHHu81LhS0RSxCVLQzYJwVaKWEIyRCe+w7O2i+qbD
dr5PaVlmqzjPLO7guH/FWNGsM3Bo6qae0ubt33Plc2Wj/e25coiL8E/U7csXfTtWsJoKHtvkEZAg
oC3asz+OFZW9DAMIAznZUm3+capYv0ED5+SwHcIZF1vL99mEYSJgQBNnA5sybQir/2g2YS/V7I/D
CaISljAM3BLQOaCJI8v/sdqF2CxpbmzzjMjUaO51l7gWSFBTrnmA/Tt75SStHmMaTw1AeNZYb9Uh
uwbKtHZVI8u9Jh5lvJakxHAvO1aLpLRsUEzZvWGuOhNrHE+R4AJgA+BgWKdzel3m6SMo/BsWKy/j
oJNOYBjnyYI0LQoz5tBBnwNF9AugYGulq4XuodiI0C0r61FCZyiSlIdPiqfGaG8jLXiq3AI7Pmn3
NKhZlIfjQ4r6kzzTbt72iOKqEgmtDUy2JOS2OAllwlHOLD8WcbBBaTCgPWZyEYDd/qKjsg2BHcDY
ywP8p8UGBdnAKDHZ1YmyY5wsUbsVX1SDVJJMAZQ3i/w+DpU3/USw7QnurzciJFm72czmJwvutNq5
zqGbumCYk/lak9b90LePnMY+BN7aPf17I/4uC6Ko/utJoZ/9j1c2r+9/Elq4tDY/3IxEk7oqqiBG
Iz/TQAHuL/A21M7cVZ9u8T/WpwwJIaGj+VzmhIue6JuydHGhLEpQ8gwX68o/s5pgXPv1dnR4HVpP
bkSaJV7359uxDoOR3Oe+vVRF+TDg3dr0Ru0pzDZXdtI2V8ochLuCaciTKaCCuSa7OmmzwnNygDWt
0hcMzAHdpDNNuBqIRzTlttcg5lhXkPI2MxvZTR7P8YqpV7OWoiv9/2XvPJZjR66u+y7/HAp4M/gn
VShPFr2dIGjhEx4J4Om/lWy1k9SDnneEQiHpXrJFVhUyzz57r91EATQzyCT4yhdYfQg21uQneCC8
h6ATB2QDQdUcyHDPqY5MfDFbDY/b1fQUKWl/zOq7tlLoKS0N9oYefwgbpcPST1o5nCudAwuzjLHS
24yslcMap5baRUHv2tygJFULQPm5eIl688gOqzslCo03xsU2btxkzaEGpmxy3l2oo/u+xy7bTs68
Darpy63cL/zAWQgPBZ5cM14Gk/UszAor5FBUK558b+aY3CSA8w783/wIRHmVO6AzrNFba4lbsRrD
I7JhttwBbK92Dq0d4C22cQUGIuKEJbj25RbGZlINH1VR77jPfHqtvJVuHu9BiLKgHp14k8tlCbNU
czeDNl2BOAdlT49ISp/IqIpFGA8qeC4sD0VN7QjlbLtilAfL7V9LVUzSWFSUDDBZF1Va4uvzI1Q2
6V9PHXHgup8W4B1oHsFFwhZuUeu4iKjHpsu4TFUTiBB7KaZdmRL4adIsoDaOpZ6Vmw+ALFirqIWf
SbPBQv3Ay6J7qxqgdzDcD24RnzEq1cflZ20ICXuPY3gjM/3WIOiAiuTjcSTxssr19FElYWCysIm0
NNz3IAVx0rhUJzpVjz6iVddxBmrZZZlpuoTvNaytMms/hwHlm7WnPQh+xbBho2x6qp3007PKi0gj
0CzUzlS2QPs8bXiz1T41s60XzSxe0U9ptWHlOgc2hlMe3KZOjkZtZamN2mpqT9ss/nYWPHrZ4Qp2
uW7kXRpqueuz5S0X8c3t3t9gdnZXrloF13nsrLiZfxhsiZkGiQBNt0XSX8xskYlXvfboIajAwaph
2dWwb9bZO0/sn2fJDquJzMe4ZDWdtNF9xK4amyjdh2ZMsr1GmMzZaAs22xEbbletuosY7NtEUx/0
Av29Yx8u2+wc1y3nD22+vjdeScO+tdQKvYzSm5adOjeDNbeEYwyib3DlqWb3Hs/9o9KjY+GAbnKu
Enb0Frv6Wk9RtLv52Rl8f5fFGqNTinWNx1zNYaqBvlJ8mWgaAeqm7XOLR8AKxsvcMg8J9oFB+QhG
jrN1Y8lDrTwGvGGhQmnFLeikd2zbcFaUM2Fx/R2DgrUBhuJvoPZ1G7DFeIADjHHK25DVZXYQHj0Z
nbH1lQdCPXF5ShkVXu3xuiJCujKh320HzBOxTpbTwCmm8yvgmXRjze5lNgQfjvJd1J77gAGfVjMK
BizlzRhxAoeVesS1FBmMsX5nYuQolKPDVN6ODk5XYDjFviRABPqCQJhygri834YlvjN0+91TXpHY
9C9pe44olNC0LQuaW6zl8MiVx2Q2vXcz9fIN7am0DbFXn5UjpUxNW9nithDRv6kRje6yZsnWaWvc
C+VoGfBGftSJBqcTtwstxVQapU8yGa/aINmXjv+9oHFuejJycJp0uFn42ddp51Bax2KkfCoBksWX
i0n/XO+OamfunBy/vQ8IPUEF8pSLpHqtljTY1PZosbFdnlkUTytv7N7dnlF7GdprOy3OSWxcWU70
OnXDtzEMFG6K9lgs5iaPmXGG3rkZ6IobAg3yod5W/PzNxi+mC12DTtwOQl/BQtSRaod7a8IWGoGk
rrLHDD8DPlRfMYqW54BCga6ZH0tH3tQyu+b9wC9hGh7K3DgvDqkcXNAFplCIkh6qxBT0d8Kazwbt
KqyfT7Y+PQgzoCjUuXbjLqwD1rg+/2GyEy+k8ZOJy7E55NzUxEbdZ2uhwx/kGRvSjbGH8r9vs57J
sex47LiADl1rXlH9QQzLiIod+ePDsvj6QcvlQWRuwmWVKBpUOPMAyykNgyKj6NSqBRB7gBDUUBv0
UbAHMrHt/XMr+7mVqWzMX9/Kzm/1/xDd1Nf8eiHDj83alsp4Bppf6uJ/n47MfzGjEwZVKvWPfPab
6Ob/iwiQScv8vw3ZbEJ/v5Ah0almJAR0/ccF9zeiPsSP//NC5imgia0SRQFHlqUubH9QbtumK1EL
zOWqVk8XJBKgdwFaTe3MD0bW7CIVrsAPE0b18K4P0Wuqytr0yaY2MirCJtceKJAPdWe+dBa2Mk6P
Ch0VPVvK9MpNi+0c+fQuUeKeGoMJ9VrfYbi8lBb8irLa+XGwHzLzCs3NXvkuI0Ubs+whL3HnOtWw
7S3jS3PFiQkJx/Nox5eemyvGTY6c0Dib2exh62r6rqTBQMe3vK5N/9GrrevOLK4ckkuroRXYja2x
eMxJeEZTThucE9wUWXwXy3wtcMxjuM64vRTgA+feJlMaZzRiDvWb6PnnzM64WzQggxYVbIRf9vQ7
cYMiXQetnI1cT5UjANu4Pg56nG+okOExgYEwBEW0TunYDZriHbtpqCbRVT1yD/rp461AOE7MbfC+
ky37sn0rBMuwPuCyymdZtfqa1PtaekHPL4W/kWr+9ZXxI8q9C6lagQPp3jWqJ3j2aQzWBCHbOKBF
2KdOWKheYS6f7spRXcNkvc4u5cOWaiHuqCPuYv8+U/3EqWbtbQqLddVcXFJGxKCAD0S1GnPTnBQe
nQwyjceN6j6eVQuyNzkHwrpTaMf1LdGk/aQakxOSyOt4oUW5Un3Krhzx8quO5Zru0VR0w2ZJ6F9u
osJeOVQyt4ZgGdgoO7rqaw5Uc/NChXPi+LR+qFZnrTf07ciuMl8Vs1my+IsE4WLN2ce+LtdS8/ND
7QOXU/69EesoVSpeBjWRuWHPLrrCeSl97Wi4yWdMCeHGj/LgCPgh5exsD1B97jsdUUnvzb2tMXBw
lm66ZHA2o4/aOorqJPxWOQ6/K3w1XEIlGbbxue5mb+Uu6eNgNoCe8Cusx6gGNu/rG4zXF4OYLspS
t9etn90svT+SEKNrTDqXQl3kIu2xZ826tqVyIJIRcmOan7lUDtAanJToWWfnFT0t3S7zzAtqUfHk
Bf3rQgELHT8PATvgVelEh9hsnB1B0XKdGYSr26zqtmki3gI9p+YPPaGIceIHwaUogn3vUDGLQeIz
jdKHSpspu9ZivNmm/mml9ePIdlqLC9Buvmm8YZLYaIb2gts1gWkP12mi0gAWbn7j5vZrX4+nzvA+
vaU7zU59Xgz7hJ8SExEF7FNVmZeCftVCb+hB99yThZuNSCoZejO55VLDAJfOr6Z3n2sbe/ZPdZpu
AzB+3L1TbBS1RnG9x840L2781NPWSLF4wjBhuUO0FtpynTgkcF2rR3WNwpLUg6a5+6UDu9lHWUNS
G6h+S1FukQSXeAwP3phDEWXasnnVTQnVy5viXV4ur4E79ltEb4rK941D4KnQ6O+FRnQxyOUQ1Om7
6dQ6ZG8j9EsZkGXM7vrCeQ9aYFZ0o3PgNt4jQEyxNsqID3HFPGglPdE/noWrQI0tnTDn8hcm1T+L
Lh1N4K9P3C3IRfG/RBC+6tczFy4eKDiitcggHpof+shviy54GwQC0Dlcnb+hODu/iiDev/jvHLi/
VEv/6CO/nrkOyDxAG+y5TDxImND/zqKLg/8/z1xOWvg7DpWEDstSS2mWfzhz8xKm6tRH3pl4yDHu
m1Fc9tKc3XVWjjVinlDCni87JL4fta8KElya1Y8K2GfJy4QuWCbNHCadyNcSzZAyiRBrA2YPJSdW
OHBXVZC9W0QVuRojOs5a14Ricc5wkykkLLSXCoUSSvCTHCojv+nB9N5BcN0H7AGER2UgzXCo96l2
ziPhS+A2DURaLX6Z6z65jvicutdJMXvXjvDxr9hEiHiMQeeoQicqdXHvepq1jZgM5KbDltpfNVqX
8MBk9MUqn8unHC0WJnJe7dMkyzBD6u2lzOyjHJxbJ7ZnMJfiUV+K+8EG9Fkl9YepcB9uMtBzgk22
7TMmCOs9EdmChdg+u4MJwWN6HJLUWVtIMNqohVrJpTtWlAu7rvkIz5hEqUGyN4adPAFV8LHe5HAH
nLvcl1dZVpO+0tJPM/Duy8HmTMzSTVfyS3H8/sazOMBjKBN7rKtgPOM6f52tmMlUpnt9wfbSKPdS
Wfj3TWGYW/rmBKSCXltNmblPqJAV49iGcLkOVmLhbS4TDxarR4xXz8XGzHhc0nWLi9+8iZR9k50o
DBDb3BOGNgBp5HIdzJN5IKuL72rQP/UqCP2hK9da5EQQJLpdKYK3OKlObuCdOotgWOoDfKWdCr48
3NMg6bZTpH1ieN0W+nSgp/Yct7htQT6HdUvnYSlUW0lUf/cVZhc3JeM7aOWHTIKJ0hTxzFuafq4A
9pCrxDbeXjc2fmlcxdW5dzKNQzK6LgKcaXGF0J0Yt1FNKwQNYgn3xtZZA3Hu1rzfwsSpnrn8kQaI
+2PPK9h3w9ZpknQ3OaSOXb2pNouwD+VIErxxnoyuP3Oju896yjFTvXss4+Q2sZMUNsWwM2JVzuDS
Azgm7e3sRfcwa2+WZuAjYtAsMxuSAECasghso+sBJP9cRBqNO9pH22hgmGwS2rPDWLgYQbGWA+06
sdPRwKPboWHPy7GqvatsrgA2stJc14Ow1iXN5Bjs5QVXn8+Ci1o6+BQTd+mlm9UU8+jeaa5g1er0
RVBC3KwNPgChbWQw7Gu5nYP+ivva80g2ZI2wT8RiLt11Mljf9PEtK6T922Gp1/3gkcprSL1700Lx
HaWTfT4+mHIRe83m3RkpEaUr0i+uSQvjqPfsSOeOdc10GCsW0EVrHhBmrRDaFSXvGpgQG9+dXtr2
VjbZVRq7tDTnt2UxnuOE97ZMOH9llm/SMiBZLZqtW6DgSfzqhAjYODbCvWcuGDlr9e/ItF9Zl3ww
X6iWNibrmHt5pJlfdqc9dpkXrMuyfCyBO27MYLib6cPcpW75Us32ydEqrtgqtdbZR8+e3BtLdRwS
j9RBXyXNuyVFSPUprC6wlCxdmktXU9v7HD1zXN5by3xp/MDaBzq31Trwrpdh5PZGLjy0W3awYJnE
Kkjmj2im5EP3+rtE9EBta70gTUAB6eDllBYk1mvt2nd9qZrSEx84zBDJsB1w5WV1zdIo1c8jgJgN
RrmvcSG0Ihy0nMwcw5Fi0X2ei4BOaxuaGj13q1JHIwVNjZmbT7LRUeqsR9I5pxNJ7rFrJlykZhJa
ZnMrBZLB7IMFMpaRuAwXa8tPt31szWFKjp2geFJfko8/zGX0WgpaBUvNhprpEUKZLN6tdZt9uJ5A
94yyZeOIaBvb1rx3WcAcqtre5jCEwsRzi63vI7XyPFx2ImteW9/ZilYDKxztKkSym0RLXdAFabCa
O6lT71YGWzAL5C6dObpxhVlvvcY4QCy8yLwU8FGZ+TuU6TiUYPLX0TjT4zoMn3mjZ9uk7q0j91sY
RSBfSNrFYp8IsTwssuS1kbO2dUA8rTTktFVsQjdx+vFggWFckcEi6OiMp7gIjlGwnOjMI0JvoChG
+XLTlhFree/O1zz3gokD0+AAUAnF7boeknthsirLF6PYQlVjBEy0dp1Z/YfbUC1Gka2/m3w8wbMR
9/SqLBP1psl1n2JhjhY9zAlw7ep6ORFYvogKKyREcD3SR7WxaIYlu4vAnXrtOXCyDx8GVtFFrAC8
AGHY1RyaN5xjZfnzhoYmnHwL5Xi6Lh+NIX+rcu26aNO7nGFkrWNc22St4a5au/4qyIPGjAyMvDZp
5pSazgEoOu20+kudoneOQ3qOggE+k6GPoWxaqkajnPmEdHQ2ZfFjkxQhSJcXF/kSwEO+8YryG4r8
i2NpxGj6c/1jMO3Lj8gxg40R4PYE7PpIbQb26RT7qEnz5KLXeqgV6SUZoYiegPxUtNxEbM5Uh1jC
mo6iL1IwQKOjC5/+2p2ezkdivIHSAlaZI57KuT1Pgoofdy4pECHFxQt6JEV1ooHlU6v9bzkh2Lrs
LESj7aMu+8JPve2Gqt91Xr3pav5UVtqjnukXS3wqM9TBwQNXlL8FQ/aedDx8R6rhstY70AOg3jV+
vO7c9sgEgFaa8/KUaON4Jk7Twvs5jUyEaBPDCeaNFc7yuzSL+cs8wGl8vEjbwljZtCkCAmPy5Ob2
yg3skE7VtuGmgw3YPS4O7pehRtNo/FUUyCfD4pvXE902UXbK2RPtrLL/sAGbxV5EBBh0kO6V4JPE
o2Fx4AUixgRh0NjmW2fMug+tZGNM4i1da3VzXafBBUUoGNPBeg0a2WYvc2jotMsdMHGUYGqfXYPw
FXoetCEK6Lc0ILBtWfBMQ127K8eGH80XBNq5d9J5k1LXRpxEMPF4VnKUc/adGE66jaV/NRvZrlp2
HZES09+1swiN6cLX8vukoE6Vgb9ckyzYZdlYr2aPi4y1vFu+JMkTv/suJcnmQB450qm0rps3xj0g
76bMHA7isT3x8bmPFfcFxfTRqD24GlTOde3G31txsTepXRjpKI18q74RPyQZXaQuvCfAsdpTMlaV
DlpDdO0RG7VU5cxy9MdtVYzafDPz6gjdSbXQjjDkxjTopqEf5MdKortPAJlXqLy7JYiR0Cttq3kZ
WIFck9vUrkK7zIcwGqtnwObLRvgj9NQ5NjYFUWirFXeS+uItBtnvJmuf7JQIXMnFS4vSfktG6JB4
9hsg5ms6ZklDezikkpThm3tXt85zm+I9ORrUX1PdA8SRe6HOwdZxpPH6qdeOu/kQzGg0yUXTGvaq
qO1w6r3z2KdgN70LiL/korrszcCvROfMhbHM3G6q+p2zhbINSqfox33o0tQ+9oP+tUSjIKmHfWge
/b09Dtcg9nANJeTGGSVQxhIZopl8tjQ2Wzhq1nROLNuGxiA6O2/NfNyIHhqeU1Zyz3P3IgAl7c0O
h53Tdfth5BOdmfwDHYo9c7voVp2BE75bXDA22a42ue0GRv6aN3jckqu8ptzQmVdysg5OS8FD4I9n
Gqbp7677q9LJPqkNwYVqwBSc03MV62cnmLeFGM+2SZyrXGlLE7atFh/Jbz7lMj70SfrSe/1DHVR4
fxZ947e7yfXuMJoDKSnPc2O+pqRNg07jyVjGh2X2lkM2FIgl2UOixHSPu+AmIQV34qnwapfV+FQu
I/ycJjtNSQ6+kDpX6vqWSzlSlN24xnM96ljB8xspxVte+3AKoe+SwHopnOoitZKnUrJ1/EdC/5HQ
1fz91wP9XSWq8n+I6Oqrfh3oEdGxEGENxbn6b6X8t4GeaBQuNx+YLQ4frKi/D/SI6NTVkUHwDIC8
KPB/FNGRBnjO20p/Z7b/Wx4jvN5/GuhxBOg2+GgbkCE+WdSF/zAZ5aIGp8FpdUW9X5twp4FsaVnu
8NGygBltkj+6koa0CJEoM4LHqIcvECkBCQvUe18Wd56SlhAfQjqTEJtQnQZNP3SoULmSo1olTKXN
SGgPtSq3jFep9KtOKVll0xy4f1Erk14xah5KJC/6O1eG0sAGpYaNM2WbXufvBULZIrXQQzjrpUur
EFJarjS1IpW3ptW/0CPNMyIXN3OuGasKIU5TilyktLkGkS6OoKxkzwDYX6WS8TInu+2UsMciAf3L
OZVK8ssWsZuVCKjXtlrh2ivgQacFnXAUw8nvos86kKfUpDlPCYq2khZjEV1KJTbGpvYiUR/xJRpv
LePWSqJMLl37mKJUxh63AVlbDSJG8TChZpIn4AdB38xz/3JWgqfBzxChgJLEeKM6sNuOUZ5upJJJ
EyWYCpTTSEmorU/3LJpqN8jXUomsOWrr5De7/kd+LUsBO4YlL8osptarXEm1DprtoMTbeQkeMzfY
EpfkwZHsdCXzdui9Qgm/IwqwjxIslSQs0YbThDDvqOTihnxzowTkPO+fHRRlqYjBtKl8V2jNRP1i
wqDxOWCyDQV6tOzAwxgo1F3Efr1DszbRrnUlYjMyBEfpDvXGROEWsXcXR/NuyOW0KavyOFemsRos
7Qsas/JKbt2sf+J/24sKk4g9+v6mMlMYkFl/zalTXARTee9eIAgxw3h0RyOQhYkVJaE3dN8Yn/fU
j+7ckQrsfmjjLX8RF0KzqauBuvOcpOyodXfG2O7gLL/Ys7HjFI5XKPSnnxmwryhOEKK8GbIEFEuX
b+0eehqn2GbmNF2RcfRxULc4tTlqshKAD6H7nRlXp9yxt0WgRuKgvbFzecwSFqZJO5+RmHa6HZ36
BV1CQy6ePwistU/MeFaYxEHpY0kV3q1Z6z7dTD4q1o2OFfy2m1WjtcFCtLf0bY5dhrVN9J3H01dE
ocU6gSMn9MY7emJ65Hb53udDQ9tcdePFwU5L8hujZq/il6hNbhDWk8eM4Y1hWugk45z+bFiFzQ9X
bxrPQ4KZsn3VT/YmiWw8A4W3rDMycTQOl2FfTVvLnd8m1wzpkXwlqItsPz/wQsN6z7TDnGoXokl2
Sa6BAGUaU5uWrAgDLdpnJSt7XzAJ+tzW7AX5qH8i9YW+MsehWU4E+nzyUml24aVNjnJgKv7ATrIa
KuuSF+Sxx+w3T8N28PEelwMrIfJyuYC7WnZhkgbPJW19q65NLsaaLOPSpEyFpTuslpz2oEY/46P+
6KTNh4CRfeISn9tcZev50gYJAQybsAf63smUktdWKQPDfujaj6Edr7LJD7vMvtfTGLl8bi8W8K8r
G0O9nbME0XH1NJPqnMz1O2eIvhpXFQSO5aEPYn/deeMe78xEhS6FXBYXbn0ZSURz+08dfwUDe53Y
w6X0xIkxlv0WVTV27L8UFrBgJP+BvWNL+VbgDdepOz7pZn2I7Gnrjrq3yTM4wMkkNFbv1a0FjYqW
zvbK1rGnx9m+4AEI2vAcuct9o4zvZq9ku2PbAMJpuPlN3OKozdi6bruxNONQVd0YdgQNeQpbXCj7
ky4g+WAnQ9ajTaLW34uoM1e9ObxaKYQ2SY7jYHjxtYIg1XF8Yyz+ReBj8FkWLcW0Jo+6S1itklzP
6phwAha1gxU72EiT6doqtC0FI9dm4H9b5rIVZR12br/poBVtsXoKNmj91dzX173nP0zpQBDRcUhS
lk6wQbIsnnMrmsO4Hr+zbjglk/5YDAKvfHWRBHSIDW2KPGWGZtp+O/G8GQajPifTtG2y5SE3THKE
IywHLDQdKmGrUcsd68EL+KWnqZlOskygWg2lt2amWWPhP1HPsk4m5wquw8nuex7j9nyImoCNmBE1
s713uy5/HOnAzENDE8YWRpRc+5O/KfT0YDpq1yhLCpar5BMHCdGjEX5X1xpvwbJcGW1pUY3ixbhj
jO3U4oKILEAZPSSXoM8v+5TBaZgnSCtV+lRl5nUFd8LOAeONFVSHpPsgRBP2enAE0XjVudNhMXl+
tR54FeGIh2nWHhkJ6VHCYC+FFdZFyig2y6sxd5e1vfh3iyAtW0D8ukG/pj+18LK9LXSkAwgCTA3M
iskvdQ1/HZz+7x2/Swu8ztLBoEjRVHekP+4busZHviRSfWXclatnmJjXOGlW5Tp4u7/tLqsj7ab0
mKQXzk6Gyb7aJkcn3kNx3P1zwf254Br8Qv/6gnvxln9xlRV92s+Hz////37Bwaqv+dP1Vid1BDOP
18n6YzDL+heOeqzwrJCV/5Y/+nVfRcOTT7aRzBR/yBWWb/jrvopeKNfDG4LN17UY1P9WMOt/8OGV
ex8fvY9RBfPuf0YcsbcZFuxRLkBjEZ8gWDbR3TTlotm7ZprvpM3efVYbeBhhNP4UxcFuEcgdtafP
o7I6lGp3L6Va42cFNPCJosKV7anaeeQX38HxIbOUNE8sjho4m0sPSgwIVH3rlvgYY9YMweJ/OZyX
jOvsumBqLuXaTWLKh+Upg9Sl/SC7FLyLoPnBVDivQoG9OoX4ksgdBcyvxap3EgZYo2BgusKC0fJH
YTSksH4xzkEXfLH6gv3nX0GdP5g+QpGv7TRIY5pCjomoOjUwyFoFI4Ot91z0MWVPyV1pOg9xCraM
nu5kZSuUmQHTDIHvANFmk+nRCyrt26DgZ/MI5jlXQDT2YWDGbE/FeKD3tCglHvy0RoHU8tY8UWp/
blAmkILiywbmWgt7rcfsSWQenmcPG7+SZKui+lgqYFtZ9XsHghsVxEzlIN2CBbp1jrSBIcYILW8+
LvDf/FbhcADCcYM6DAoR1yhYXDATYFD4uFqB5DKIcqZsXnIIc1DUqrVjtcs2numvjOvkA3x1u55r
0HTCmHcYo4+FgtaV0OtETSxKKqAdbXA0JSf2xmq/B4W8cxX8Looh6YFRCpGpvjUFyKOc56pRyLxF
wfNGKHq+wulpcPUwM98URNqDsR25sJJgUwg+R7GHJoXlm8Vy9OH0eQ7Avkyh+wwYfjaRIFaIrxQL
3DS+dj+2xousUZVb6H9QG9jgSMqS4AqcS2/e5woV2NoKGgg9cFIYQc1wOInqeJuZwwd4XAmJ3dri
IviYyUFWSI/K2pq63fsIeuNichxKVMqBmawnKVyEtG3bO35+1mmzMYkVlO6B5UDZcu3vfY/FWsnT
IORhLShtivjiXP3GF4Emm0ZEdXmcbAMNbXUV5ZAlCYAk+3nUrxY+DDezn3m7XPPxJdrQkQiZHC0r
s7jYwKBp+JolrbWrLI4tnDp6tbF4t61ap7FoSzVmfWNb6XQoPQ1uVFOlR9+flp03OnKDCtyv5oRF
mU7PmUQq9vX4iukSeL9pXFqg+lfYKW7mjkO0K7Jz43LTMo0n6TvzXWto+Qu0X3TIBs+iZVCrErWY
bnrekK1r5Qhu8WrkYIeQxChl0aW58rmV70oTnqQnAA8YchjPbKUwQlVkArT5MjdZiQRA1XFNofAX
2OWZWd7bQdsZLEpXIyR74Q4WV0b/qJFjPRpx4YdVnQEa9EWLzaTBb8QSezPEIzdLFXERiYdYDtZ3
q9UFe9Z+0T8aw3zOypLmNEibG9lKfycW2Ap5Xji7qmQ87Gjn3Y15U2GUU69v5JakDKNTwwhSSHmG
E5StJUQSKMc3ieSn1jWHnojqZDDGpGqeqX4mG0YcS806k5p6LH/gFeIegcC9Zb8/b0tGpMRJbYIN
bM7YNp58NUeReN2lDFZorLuBQWtRE1dRYI9OQBkIhrFOTWXzgNGF/cQuquu9y+AWqwnOUbMcdmc+
sEx35qXPqFf+zHzJeC3UFFjZGG9LNRnGuOkdRkVCSyA76hMs569JzZIFQyVtdNMmNqadx7LsnxvC
zw1Bx+Lx1zeEXfElxH9fEdQX/XZFMBCzOP6pjgLq+2NO+U0BM/8VWL7NvwjMEeEmSvf7FYGdLmbR
X4M9f0jZkd32lSGVf4NbQDjv71hauKr8SQGjQkaJc7rL9/RBNKpv96crpuCBYE6DH1yZPOJQhYyl
3rU/FFdLE4m5cRIo76/cJNob64f5Wir864Ix082Ci1YAva7L/J2P1nFmXzaaPe9j28bOXFvFpIi3
y0FMVrMZxuAGp8Y3navp2mt9NkLmTqMQNe5S1vXE9yhK9SlMnWptr6XFu9NSrqiq3uNM3uSqY9Xt
2xDLw54b817H8UGVsFzT06thwp53kI7OJktAxCa2UKrDddDn/YyoQfmh8Z6V9FI3o3Nofe+5pgB2
aeUHK4FLGLwFUD14ti8BkD2q7snYOtVXO/thrhpls4BuWcijzdWCIx/QiFibo7Gn9eo0qkZaqbpp
c0trN7Xqq9UtAJGD0OiNrJYnTDOXvmq4lcQVV61qvTVxxSQ2ndLYUretasY12tgjAGy8+ZTmEowa
w8aGJmlQqFtSrDtkGYvv6mpSjbtaGTnbUrXw0jp+AIHIbSEFpWjAbAl1aY+05tLfW6smX+wfXLYo
962z+aZ0cqBo9KxASv2cSwLnOgMsq5aIRA+cEyue36A4c94Yxndv4r2kTlj280Wm+oUj1TQ8/nQO
q/bhSvUQEwXGIEM18UJFcakJ+czrSS7/dSndSzvt1lR3UG2bMepGd7Kj67gFBt2FoE2a5EIzxcAm
J83JjNcF9QIUbMC1bM5T7HiHovNtBE3kudT3Ad0AiA4uTU9LjnRdjjsT+f/A76XmTCTnv0siP7iL
aPkN1sXPud1UOGJGdZjXrWMXTG4c8cZccWB7ojUvvKIY6ERASNAWEMX/PA5/GZhAO/z14xAoNm3g
n/1/PxENvu63J6L1L2XiswBAuQHUEZ44vz0RaeADx0K7hm4pCDnC/7+fiIDPbHx3WLotiDCMT78P
TfYPHcNkzfCbNfBvGOv5Pn+KHds+7v0gYLDGVk8M8z8sfv1Ao7NXOfJ60I9xBqf5tup+Gaf/cqz/
Baz2e7aZn4IAAOajgFmPSj9+3j8/dA3CLMhyXX1tSfBjHRegDuBQYpnCuk50VCiFx5rym6VKXf+c
JIn3zBPCzG9oIpjXiV5O5tF063U3VYcmmS7I5W9ci4RyauCJoTFunovryNHCokKB7AKqqqu7Xsfl
PyfAJhvvdkq7fTRDu0hQGan7M0LHbo5aLa9wZr8Xc/6mUSY/1PWBUu1nAn1stNPkKu67jW8WBy+h
vdKY2m/W+zu0EhkWPLF2aWMPaw300ap35L4ZWbMOHkMMBl2rW/PjPceuftAJSnOFrI/NJL6Kjrkr
AjFJ+O4rqmnm8cu6p2908ldN124hcl9EvSdDLoQkgKQCIHj6+9SJIwSHEn+XuB+N+BiZ5kM78ek2
0/4pL+dunczyA7blcbZbga5VX4pkkmHQeFbopJGzjqr2rk3xhnt21W/i2bqEjErytLNuCgmVfBmH
Zy2ztgsbmw3nN9XzZv+deQ0GpJR+C6+prkVlnzzZ2sSemnRV5A0cVp2YBfaZeD1lg9iktUmMbAT8
YdfLk8FMbfFyrqpBu3WkhqxpFveyDOg68vMXrWntlSnrQ2D02bnopbEm93jsNOgMusFl2PDji7j/
sLJqGwzYI0pprlnCYFIoxFO0jPY6avC/V7FxbH0KdvsRHqzn/B9757EcN7J221e5L4AOmISbli8W
TdGIFDVBUBQJ75FIAE9/V0q/+lBtzome96gjWkFWkURlfmbvtV+bFLebmruT9MVr0JfJJsjS96Bk
gxyLYNm0Q/iAqfVd4Cg32/QtbRkDkFp4SGzSFK0pWNekrYx2/9XKMnPdCZSRkPKORZojimOzBc0S
jbZDTy76QW2FYYZrt5JnnFyfxliSal8MgL6TTss370nbgNjpx3INjHVbCMLHR27ARZ/OYZDd23TV
eOD0HHZ8yk2W1unsvWdZ+MW1mCwnCmSXQ+AJJI8kv6pKgJ5xljZrzpVP8dzeQ3FtLpLcuYlBqTIT
TBQP6/QFUi9Pj2oJ3VL8PsBWPONLAN/G/T1m1ZuwlLcbO/NTHhes6ulcJtYSePkGJFzG+2AEz0YA
JdaD7+E7FsJcwkfCZeuTk2BvB2fOj8138JcSXRvB6GQ6DEGwfXBjBV8W+T0ityL/lMPPPrrLlJ09
Rz20rc0d1LyVOJrTvIH6WTffSPGh2UGnhScOQVmuSDno0uxJiIFEejAcvfdIAzoRNjJnl2WNZMMw
7jqZhbrSKFpi70siA0ai3Ax/qjdd2NTrvnDdFaqmdcw4ZaqdK3rQklqMQYnfrxs+mzo47Lqv/c9J
4L6l5tRCRkANIRZrVxbNekzmE+XsizHJkxpSUtnkcywBBXPm3HWVtSXL7K62nKOyjLt59jeeET/a
uffcM1+qLfMUqvgMies8l8nV0g87IDfrKJy/oVcokGVkm7wf8i2x9+ucjDG/74g4QejWNeO1D726
a+mAHPzMCIUVQumJuLPAYClhMAvvHku4O9CR+7d+SHZ2Oz0Z/ZsreRJHz985IvPBqsK4Z1kRKYrY
TM6GsTXJwXn043Hat21nr7OYSDk3aIbmOneA4taCuLKl3fpjFZvrIuPcWuW1aGZsHIuzH+a6WwcF
dVnglI952++6QX1WqnjsW+MZ57JzS7j5cubCa3dd0b60tnVMOufbFAU37UKsM/DxTVUi5ALMYm1Y
FQdrIyvSXbmU4YMog/kqLpP7NI6/Irg11iqXxalDK0GxOcB7q5Basnx9rmz+iip5SNM624SOcSHH
/rNkpoLSzil3kWb4Nby/1Zhy96zDnDNAGoW36WWz3BgDwxYvQ7U4z6Haxl2NkqQTPVFDvdyIwS8P
fJqDTVsMG+GN42G0BrVHnFUTClLPe1WZCdVeE+qRH7qoInUPqgitA7XsmczDu14kWp+xz0ZdoBrR
a1ojo14864FS+3NnTfex23lH+Jqf6xAzCLFD0f/IAqd4+HCzf790kRSgLPDodRiy/uFm9wqJw8xu
5blmSOBZN0C8Pd61q5fh/4v79msVoV+LTs8D2QXe1cd/oLuuD0aBvq+ngRW/OgcRMOHHdt4lxuOH
0ur8o1r4iOP7Xy+h//3DS5CyUhRKFuqMhGE9A1pIxi+i+dHX/22p8pcvEtJo+tRWlq2rro8v0id5
PmWVUmenY1F2ORnXxnj87z/Hn/8s/Ko+vITegXz4OQZEjLElJnUWwX3Z7hbidqlCKv8lm//HK2lE
xa9V16+vpN/Jh1cqktFFK8AP0zLfsSrU2vaFZLw9bsfyYoH09N9/sF+XNz+eAUaILtGxjIQwtfz6
csSWTUs3WIoO6LMF9dv3HuLkNJf/9hr/t2hhZfL3vcaxbN669KX4i16Dr/vZa1g0FCxYIA//mLDw
OfzZa1jeb0TFWT6Hwfcs3g8LGhoU2EMmxT9f+D154vcFDc5fi1wkEFh0CciN/5GhCIPSL48kix6Q
ea5to663GcHAgf71GfGTtqsmo52vJqchBpRNOZDhxodi/G4uCw5XzDLmwO3uYEhYDrWX53hUoynj
BPNEfhfZyAQDfPuHzhr9eeV49mtsommsw+gFZPI9uXXlmYw+VvGLZ+8c14qpd02Wh573njQAz/MS
MptV9ekO9TfZOT25qrh4feLmLPdyQap3NKpioNxHJj+vJw/TUJbF5ByALOQ2CS+xbuQnvPDVpm/U
vAPS3KwGLKerosTyCv0YMwrGqWsxzhe5m14G9RCdyrTIkW6wWGL9YLPvtyGGwdqdd1PoI64fuIZb
ary1RToG0gpuxDaQ0HGF8VxwejfeVF34iXzAIWpS7CARRYrarGP28ddd5r2qiou+JQtjX7vZ+5Jl
X9Cb4pQWo1UeVUSYUSOy+RMy62jDfPoqJrvoKJPsbYgX+5myFwsKpqjd6BXtxu8LABJMD0gHCqvw
BJDC2nrKNC5EM5mXbloN+xQy8irupHfZ+f5tQMLrPZ3QUSXzg9EQEFcLYH9mgAjFQy8PzZk0IpRx
lKd0cUgntJJZMaNCwHVpJehy/LlL3OexifH6mA7Aw2i2hn1cfs99X1hRdDcJf7vRxv51NVvU7CS7
WWxp1hnfCcdxiEagCcIWwxOTE/cIV9B+MGxZsHEf8+WiG6vwJgVc0WI3DtDkhvwSopsQeS7y2Dx8
H60wv7RxKllxudxDaGMx8P1D+68Z0mGs8fen1/3La/dSslr+C0Ok/sqf55dt/WZSr/i/L4v/c37x
T2gnmd7+XCP/PitxSM5xID4xyeA/iCW5ef6zYP6R70Z+KWsKZs//ZHps/5n8CQfO1+8OLhQw+j/i
Y+n3KjIdJnUzsR1eC5k2O2QQ2Va3PqU/DTvCJlET4wobn1VWnhoWdnuPQ47khzRdRzNQDVyK1l0c
e1ss7USUzBUBVtgXT+awvLiRvVyHcnhDaddv/SzXo8Lo3pGGd1WNJHLPUKh2Dca+a6qxbRYnjwO+
RYUsfZeGwUUJukl01ns+zY8qIX1G5Cwsuw3s4UOIe5GAiZJNbuk0m6zgaFxmp9hMpug5R8ijYV7+
lvnik/KML/lovKEW5CzAO7Ge1Izdsi6/tSVg8dw0QGyPEoMach+lz+gx9L7OCcw1aM7WuiD2Bh/I
kG4gID4mZX1re/HWq9FU+zMzk1YOI1X3XsYAtY9e49y1vXfFwP1t4RSbq7NnNQq3QH5NjPSOzvGp
xDQQ2dFrUrkPI1lgKzN7n2OC+NLCvg26eV4FEtH1GPc4xgebaIyBLLAiKXbTUExIGaF3dR7uA/xe
G+Yr4tAHJiibghbdrMDrLTVB8WUKB6uPsnBrDATwiSE+5EC+V6Xh7CUZNncu4PTNZIO0ymb6QCuF
ze7WhnNFq5ayFFc08nh/LsAwMEibipUwanMvp/4I4ToFzc62FKWZe5C0gfljFWvQjK2ZM1mv8TPF
dxRNQeTy5HioeUDebSuANUyNDhMAm2TQQPzvuRbD94yLzl3Sb2VREycQWmhLU2FFO7fnxvBNIt/7
JZSkbczVrhEKBPNip58ADTx2QMPQ2Ydf8pSlhTviF1EiszdGI1kXz8FDWMHEKl2myZHcFxiUuHGt
T4aMrI3EL7adIqSzoyLnlcjsltbVrm567a0x+V06LAGmZK4feAIAXQifdXhbTOdqRmEVSNUwfBm/
9qgOTj5bU6BAyRshgRMuEpa+aWhdG2TbguaQDMIN3CV+OMhDJ6PuYHdecd96bXEz1n71kNvzsGlA
awFVaB7qALnw4AELk8uAmdY9TB4LeAnYCsWjxHNfzzdqCKM1iEU0THkdbt3UVqeBKmg3sya9GGYE
9VGzbhP1yOyDGQsdJ77PJtvEAmeDPQnjaBghgNgMSUNFFPYmDYaK+Ls6f80dtz8UUqEQAEibq2Q6
jFAVtt0QLixJwSJgT2PlqhwrukxiJ7gKxvm693xSFgoDzHmN/xNzdbebzGDaDHhLrowAUXRPqQSD
d1q2/95H3yf3NqXl399HV2j5/1xJ66/5eRNZ/m+BY3PQo8ynq9HLyt8r6fA3BGrcAK7l0SW6NEI/
95jcRJajpU5CAL75buj/eRP53yvzAEc9zn2+zPsnNxGiqj9U0uwGAmwEFnsAj/2f/4eRer+guJCu
9K5jp1ouW7K2GxbjQdKKjTHF47KQXyVxOxnorQssppFfXxFIBdpEsjxcJYNrFleBTM0Sj3TMa+BL
g0UttiheyT7ekn2BMc5ZlMvpqYZMxhjwS6PZLGbMHBoBuhE2x57LhlHuSLQDUmm4WH5i1PHOd5nc
yKl6sk2ZruE4HobKxwzWcyu0OtiiS9ECyNjod5E0H7LKvuoqr9gC99xEs3lXzWisLIspOTn0p6Yu
T1UbXVpqepx7ZBxEU0QEFGE4a44kqQK+iZFXpF6WYnDCu15MPombAVs8zNPoOCbWkn54xo0o4b85
+NF75qIoO2CVUGxj8bzgHvtm60zkVI6fh8l14NwVFO2mu2Hec0YKO++UN8Ivkxyo0dgOpKos0yYf
vAIZE0LZ2e1cNCL21nTlvCGEqSXnc/xmiIngBzJHpcY8lpH1beKkWEu332XA1lKX8SRl82UWsOHU
OiTpct1mrbrsZS5BxBF0vNTOvSGgBfvSxlQaEcGKXzHqouYoEOATt1FfZ3Z917ZqHfnNKUXCmTDH
wBNAG+O3pIYVXwXJXqDaxg0a8tVY5ABaWThSbV+IqNx2DUA+PKUoYoYpW3VFnZOZ4uNKcxgGG8xD
Qc5llwi2sK/HT7KqsjWnZ7oHlJeCQI7Pk49/VSA8ttrhYpQj9gGze4prZg9L7p7m2bof4mnrTQSl
Z4SO5FV2F1fjZepiW/VTbJZgaraROxerRiAW7/IoWZtTeDbd2t8GrfNWF1Z/sBqAsm5VX7sWPUjC
qK9y8k++6z2WWYsPpL0xEtJx/BDtuCBxjmFltsuK8hHXL5BsdDmm82w2st5gW+QCK+6n3D1WcQs1
M0rYDwWJu577bORBt5NT03To0UISeROlniocNYSRDk9TpB4t0T+InrYv7rAoJ+ENNzijTDh17vB1
wloJvkEpFkI5/VxubeoAT6UzyHuMz/mqziyQZ3N8jHsRs1vHS+kxng/iL62L0mxKER6GWdqiFSOY
RZjy05jinrNykW5qL7kA8Xhh+uELmB6oQHFrg56x7im+dmknHnBr7g2nPiszVaspde4F7f8mYJO2
AiOAcV5cpX5jrJ083U1p8YS2r9ojkHsp42U6IKXDUcdqhoDTEIpNXm0Ii6934CmfswoLDPE2BO1M
JAqFJqoB5ml7og+7y9SDaaqwYUZ2IbbazwSKFKNrP99YlnjrGEmt6q69bnyfsLsouUDnzCbPmt5g
JN5lIoVVxCwAkzO+/X6Z39VI6ziOYAKJbhRwJYirb3os+YWvaqC+8t6Lch4d08GkYhk1D0A6r9u5
dtdIMg44JF68ZKho8DWxyguvtCffMsRbPkzOpp7gOwHf4YEa/N1imO+dgg5Upwd8SM+VT8Cvl7SY
UqFZNJN10pvKXTAZhBpJ706Qd3yMB8Ial0yn19rZlZVjZVmS/TxkJzKtbjMCjcoiOyZDex8l7fsw
hf2mUt3lXEc3ntE8NAE1uTOzcjCT2DuFnIucjQS8jwWjiVqqfZbXT1WNWcFXeGAxcK9cIqC2KoaO
ko7qMewhK8oak/FYNXzzNIe6Mjh8HKddLqW5KgMH/NZklzsi5J9s9aa6mV7bRdNdwTRIvPJ50pAD
C9pBobEHmE4fv8u5HIgItnDfEo1ImHMf3gTUBLOvSWETXxZoCqPFw9DAV2g0aEEBOdm4Gr5gaQxD
W/rnEXM3oi6cprEyUICN1y7sBn7UDRmfNwQeiR172GAda9DDUviXPpf7JgEVKDUMAjnXdBSaD9FE
nxM/XPYd5IiSQTOsQmASlsZKMHL/5GjQhKeRE2rqRrhf/1ZJP/QN/7VrP1KP/7lK0gKG36skFzIg
sgb8iT/rnd+rJGqhkIRcJ+DD94O2/rNK0qUQ4jCKCvTCdOXUVj+rJBemOiqBgOYakvM/Vnv9GkcD
0B1kGEYCrfZiKO06fxiBO0nRWPHoD9dl7oGuq4sUx0XJBvh2tscFz3gaJtHibUUymgn0yTFXWxcH
mwWNkqZJrcWcOsWpDdJ2voEC7OKzpn/RV701ea1kKVYkzp68NVBJKyGKlFhnI8pGOqkorCs+JZ4U
Z1/KsKs2vtmM4oQEV/XT2jLarH/xl6GjVhvA5PZ4yX88vKhNMab1TXiVtGZyjKfOW7VKiU9tDVsw
AOXZ8vEgbDTPEAS0ajyluA93UIeqa7/I5R1J2uqrSWJBA2w5ib+Oops4hc1Sn9A1C+g6us4MjGqA
dxPoOBbRPIFy5lvLt6MjfAN1hadKXVtwRjeUGe+1gp2Ec97uXoIUoVMxYKxfJ+AZjgn6ywcE2Bjx
6c1fg6UI92NSKPb2pNXBSN0XhnDugsUstpNGEBUSKCOADDRcLs4ZyMsm3jiY1JxXWb8TjYUfHJCd
hZQZahJ/puHQYpai29aWLnJY7S/O0oBWWzh4V7kt7a85m92TbPv4OCO4+kwX5pCiYYPJaFg3LkEp
b6TMX/mVVkdqZeve6lNiUzLTJEpYwRBx/Tq5ngmN38Szm167ad/vw7DocIiGwTU2MvdQttQ84QyA
LUE69or/vrgEzto/yhL+Y4/1B+x3aqOXtQqYQAka2TmMuBim1rtljY+Riav97KQMX7DE1yfaX9h0
fX7BgIX6MTCCXevO07sSSXEImjK+mOpU8N4y37iiNzXJD+zJRqlnED3DwOC1nYNq38RgewD0LYyd
OvYuix1GF0VneI+IEZ6gftuXthE0N7z9aGfkpbjqaxt6R9eZN1xWRK6R0H6MU4AMTE4yluTNfJd0
gdqMvaJ2TCUq2nGJdj1o8njz78n6/WTVBpi/7z/vAXK+/L918fKXUUgfFjpMPW0WM9Sv7s/VzM8D
Fq85PmtGmuxUtNSW/e6HA5bm0IEbh6Wc4QHH3s8D1vsNwJBDchJLGEaE9j8aiJJY/qc2lOFlSH4l
vnVe7Y/yMd+KLXTdbn1jk5ynewdI12qet9NUlcxKYovVQ74rnPlICCLKoLBKnsvQv0BVuwvCYU8Q
xbUv22PmGqhNo60pyhnVgV9fFqlf3+C1eZxN8TkIYb0EvZ7yGcN2nPMHr4tgsQIdBiAOtLzO/Nsp
duj2MMshkiwCz6w3gatMcgjNa3Ce44YRzIhwMgFN4QJIrswB9bkVbpes41Mag9siCWKJYIGF9BwH
6amSU1xcTwSCr+YZwjTRsu4m0W3iOJqf0ATQRMxbZQ/9ZiBhUM9xuxWXw6vHz4lOmO/bhiC55cjA
0JyUjrbIXkMmtds5ospD/655ockReFh0LBrSLtC6bWvEtHsAMMXJdQ11GaUJbOaRNBDRZZ/SlsMa
dZEFgDa74RO7hruUrtTCR9qTD13aemuEWZ/o6G+aVh+ijroUE+nLThtJHPs4iiqDHboSZrsO9eQ0
b+VV02TcLXNd7JbR0BrSC7ey6anGuzAj0SqCmbJalHXwHYzhc55+Gy3nKq6W68UmZhOZlbOSWYfP
CCukrDU2s7mUSYDN0bTDdUwrayzTsK5Z0IHexHnRgC7fFLaHSdO7zSM8PQ513cZe4m2LDGSnjPq1
tdlC2WZ/bTtorFpjX3OFlWV6YxXy5DjAC0rRn9qRZyaS/blNvWEV5PxqELnIrcD+0pMA1GdwB1vn
yneJDB2QT69bOBqH3Ko2eWPsu8w451PdXy05EiSXEnwNnf7O9uyrsCkQ4czjtBal8Nc2/ISVw5VG
yCjCwCw3fTKVo20f9w8TqNMdoqqrWERf5nYEFmIEe/ZL3sYdzEfRtl8yp/U3VoGOuB0wFaXxbays
S2sqN0s8Xbd9+K3zVLMpx57fYe8d4xZP5uK5l4Psb9Iagc1tXfvF8jZPRX7wob6FefOY6wUYl+QJ
Upa4qmTeXGRD+Fzn5t3gdt+CZl53mGGaJd7FlbdpenURDiRwmfapLpLrtK4vpqy/ruriPFZ5vgHp
y8A3kuroRe774hkyI53SwUQiIx9rUzUu97a3XMVtR6GPFHLHnJURkePxuqiPi26vgK1uZz85qMU5
d+5zb7BqKGX4qQpxZmTxqbOZFZSDy7LQWcVc5XhzD9FIrzq78pbDDuHjsLHhma4YnfD0tdHZ6QcM
eIQW5sFwqmV6h6lQL1Tulwbri9fhq0mI5V7ZHewKgTB9H8YWSZczm1Qn9/ZFnNJnF4yubDsBJ/A9
EFby5FQN2QgVg7YVEqQz7d1nX1TvdWd+wySW00cWj7jTLlHisdhp4eC42vZmdhEmuKz5GkgDGk2e
XKVTwDFhmmeABnwYgI/dELbz5izIKc1Fvcleo+u96Y7QruboVOMXqy53rTA/z6l/FRTtLtRCRbSu
rDJFL/YTM7dqIk+D/cquCeY98LaN2XTnMC1Oppftlp5UMrellvPZtFDaHRhTacuv+ymQERGxyB2d
UDxYpmvvYRj2+OGtZttM2bRtDftq4mNwxsh35879gV6YRPdipDcsbBD+mJLQLNlURroERPA15D1x
YWn7krToXIeZUgOyxZYkjfc4fE0b/64fnLuc3wn3AAzIuKJKKYIzO6mdCa2NI0wLAiOE/uOi0jWU
9z15ZT5mhgKI2wDul28XBISbu258UbjxdZIhf/VkOp6EYZFbB4/n4NrT3VQVG6sEzEivzj4iwNo/
0UXKoIuPE0ijyNjkgXNKwsDTOMcvZr+kR45jkJiCnTWueSNp7+002nvLjJYy8eR2YvWjF8KvOYnF
a6N39p0L73JsW1blWI1su7mX7nSJmCBjfdDuJVJaN2+uVQ1cobEUYuHpzpzrLeEN8871/FPdokS2
DPWQLLPcKWm/5SEbjZ51OTxNCCcF0uV/66kfnSpL3b+vp65evr39VSmlY3t+71VDdstwbQRi+lAb
hf8z0bfN39Cl0MMiXbJt2/sw0fdJlfQJokQhE5BSo7Mo/1NKEQ5rBgFf4OBX/2fmZeHxnT7ItVxd
rLFb/h42i/ws0G/io1wLjPjc88GJb6Kw3PmaSDf0yCgKIHXEOz81QOuaidy7BYyd3snuq5Lou1oe
TEB3QhPvVOjSmyjUMH5xmpDErJYwQwY+mjAIjNtKk/MGzdALgOmRmIPLJQ3DLVl4r5ZkwTUE8noA
HT9a47MHks9ieuNqRl8aJ1+8sNgYo4ofO1uahwqgX1yqaO1HbEB52/VOgv2rNf8vtuxnPnVkXms2
YK8pgcrwBIvY6J2I4jencKFyaaZgUFN0lGAG6zyhfKteFvCD8L5RRWsiYe2myzYHUuhqWqHUOXsN
dEw+QPXXAKRhAtqwZAjAbcGPKDX3sG+sswEIMSuI9waMmGlCYtYR0N2n9tnNsrNZOdMqTYuB8Txk
xUIzFonZhAjTq1cQfzS3lkxXeRJQCiUuQWZm9jCCa4S0R41iogzqHSZViNjve+COZWndMujtGDID
TDUAQCaAIJNhYm+RmIztEvwOwCJjq8lWcY2NksAxBpXSZbie9kxPE3P5BF2YQ6x2Wc8MfoZzGR4l
EqFsR7bHN0OzKuMxoa6pTOysmmTpQIvfNsAtPQ25FEGDmzKKbmdNwEyQt+/m2ISKWZRIVDUps9LM
zNqjhNLy59Tf1UA1Z7OBrRc7SJeahAFh7MNwA8KJY6g9kjupuZykXMYtmm8fZmcRl69DmAAJ1TxP
+vpyW2jG5wTsk4ns0Yu75gpNN0g4TQRlILHLNCMU0sk2jSwqd80Pte32Lo8QPfn2OG0yTRkNpO9e
m5o82gEgX8dyeZWdSZHYkz8vNak008xSqemlaQbHdJmDK/zR4SaYvDfk0pRpbI0rxd3vDDzKrsim
TTwS69DEc8CwxbuvwKaOmp+akmm06gO/OAxs6Nd9rAh4h7caAV6ljq1WqiRDD4s/tmfNZ20BtUYm
fvNWFOKA7ew5zOyvJlBXX9Nd7YkdLZsxfs+sWwQI2CVpvxKRpGe2PiVf1YfeLZuTQVxYi2OBW+Hh
TbeTnsM6ChBu8jRB/9nZeVCvyYU1YRRMu1lPcX1VPis9140CasFIz3oZETxOevrr6TnwlBpMbpgM
13pGDIYGjxdTY8X4mBk90jk9Ubb0bJnZdbtq9bwZat7DwgAamPKl1BNpWVfvKSNq20mOlR2cxgAt
GCPshVG2zUg7MZIrU8+46zmL2apISMeduDNrb0QBwkwc7M0p0FNyBH5HfA7MzXPeeBgfQO2cTAbr
HgN2WF/6aBLbOirnC7j+L7aJmIToWpIxpoGV3Tx6F+kyMGOPJ8jelDXDE6uZsd5NSYM8Azpqfe8o
2T/W06Sep8iG4+eZ/dgdoNC4X+K8di+GviniMzlPcXAcWkN8iWLPjq4yEt33ZZgPGxlGT1YivK07
kWuKgKxg7SSgm9RQBlWGv1nx3G3dZoJs2pnPUsjDgmwQsot3SEiARcOC71ilMbDeOroNILZMFegr
NLXLGurEufDi/JNEjrktm5TjKS9sLN3Ze9z5tx2N6cFQBF2lfXPAeVSsfWonJxy+lfP42LpgD/kU
74Ooe0S8gZDRXM6hSE8yn91105gvgKBYo1RAwCGjW8oq1sMQ9bq2TXnWops5N+31POCwMtDkriq6
jPxYafRl71Qvfj0mW8cGi+nDx0zz7KsNL7POJnZW9q5q54b4W3cfCdCasYZs+tA2zemSyI5NmR8C
mAHVQjNA8MUY3MQa1DlC7PQgd6JlPkYa5enD9LTgBuDfYapEbC32/lIR/wUCNNEw0E5jQSsNCAWw
TASxnW4HDQ+doYg6o2mtS1UT6uG1d2nmhpui8y+jpj3XGkLKJDTBNWM8tIl9LTSo1I3B83YdriAY
prlXQ8Nprw1okuva9J6yYHzNNPZUTcVJaRDqOA2nCHeSCyEV2uLN7IJMtWGnNhqiKrMGLZUJxTUA
FQ1mFRZrvPaMGuQOEJCKAd6a5DLiiyhCIbSyamRbDLPVG8NupzTG1aFFyTTYFdoFa9V52iFevBAa
/ipTWv4UHixmOc5nMBv5CCvMSO8xCr+00GPtlv+HDXUELJs7/KlN/LWdZs76wGdLK37LwvDgAqWt
Df41AlM7jAArwdaW9r8onJ9YG8qrv68nL1/6/u0vnO6oNj7WkyGyCs+xHVto/8OHetL6jRkbwzXE
1BAffTYm/zeaw9cJO4eRNvIRJCTfs81/1pPhbygLUZSw/zCJk/tno7nvMpRf60mX8Z5wXdA7ArVi
yPv7WE+OMpwMgmLVzayc3t8mY0SoNPBnMFlzmgCS1SS6PHa2czYCv7KkhYXbMknuPjZLaq6mkZSj
yx5/zLLNJnugFFNNVRMOWDme+zqhmdZ1Qxct2yHuUmCxU4feyorD99AsreF+7nsMjSjARISqY1n4
HDe18roVGxJj2bZebC9kSOaKD8pS44lY+ZKwom1ps1HfMtnEwa7Ru0zLc2svzZxAvW6MhfupsGDg
7Xx4GqltIf2oPDEcGsqkw+TMMntXTjDt4oydwzaOMxwWxHaywQfrfWFEQfE1xfy+CTkXjdXczOPW
KNiwjCXr5zBBOm6WBltn5nhfR5e1x7KUGJ8QxyRQSGKxd+fk3VMG84IqeAfpI1Ysgcut3/BvjZFh
WR8l7FfEgKckhuwcaHpInHKBICunbOoMUmt9PwdHMuSELKBNXnVckgDjmZNYc2oegk4g04yAulqB
XiYsdXzRdEZxFlrCUECZ2wdN9Zb7i7t3CifeYn8X+74e0q3ZExtKJUfmhCuLc25iRmxDbuxmtFcg
ONU2MIiTjAPnLQFFeyCWl8eCfTOWc8FBU8f+yvSMrwRXxQdvKeQajEywT7ru3VdRBEoXFpDPYJCq
viMgrxhsf1/XZX8Ruma2sY0kY5gBuj2uvRoJ3LhOZQaL3Hdhm/hqvg3DCH5XWJfbXqdn1qoEV96J
YKUkeMVq6XibgfO5qFBwxC0FR9cJSKOKipO+hkS+hkJGYqdi+uS1t/gfEZHHarj1025E0Wq1eHdn
vImsOSjhzXDa9iO3SS+mZjtZvgRKTcpeNFX5gWwlfFpRVh7+bcN/rDX+qyH+x1pj9dJ9/evFxgdX
PGHcqNYEFBCItPS76Nd+X2yYv3Fkmqwo0N4JS29Sfi423N9wmNG9B54OlvtFX4eJxbORUjsOfg70
ev/IqcIG+tezMySzjhW0QNCD78X5g7rOSZjaDHMprpPyy9JfT9Pzh9vk/Gcz218sTkJEgpB9mRzY
ROv4ehrwwZwlo14MkTvJa7m4W2ZL73MjrosIhXE3vA+IjjowFJtSIFuGH3gkpe3QtdlW+ixHPcOr
97Vy9pXfHYweAZ1MdqztvhmFxbw8vJQu6lacpWq1JMWNNVpuTq7c0GIQLns+CrqAjPklrt0EPffO
QaTVr5TpHiEHRu/KNVlilolHxlzqbwQ5lt9au4AFhgx4K3rcK50ZG58zhqmMoMWrTKZyN0B/XAuS
5E7wxr4n7N5Q1xpsYrrPYcc1Y9k6R1QIdc4mfB+OXQ87CzDAau6q09ilX3LbvnRtmw1vOV+qmPCa
oqoPpMAtDCDbh8gt9qCDrwJ0s5zJ1RfDVKzhxfRe5sYN0hqm/RTgOykCQJDDvZ9B6TaZtLaonE3j
UDXyYsBwD+5tvp3y4CJb4F3FS7fhGL6AfPoSWaNa0X4fYiBPMk9fhj4iyNQXK4hNBwwuN8bCl1fA
ByP7uc/jC1Do7IXdS1G17qazx6vCWTYe8MaugTk3M9ysBfBdeho6iOLcRTXbjyU5DSlZCVA4MTJm
F8IQD0NhcR8scK+cRdyn6FnWST8lWxmkxxl7M0tgvMxR5u2xqyP0JApICnhxJnFlJtloGHLGXQKV
Dg/eOhTjk6gdskHca6/HjTwsN3kq7pISUZqMyr0vxitITMd6VqgLMkj29GFlqA4kIV8mdnHvMZpe
DVnxhAD50Yr8Jy+Su7rzLoLF3RlT94ULl6t7gC7r9M81Pzxt+7Q35uVbXvh69r/uInfj5NNlo5DE
yTYGmjuzExwCsDDCj1ax53/hU8CAIHuOI7IR/j97Z7Jct7Vt2V/JH8ANYKNuJoBTV6xJqYOgKAp1
XePrc0C2rylaj8wbr3s7DjtkCocHwN57rTXnmGPTxmup63hsqh9TEW+tJTdJLb8uNZgkybcNZZeT
+LHXj7Yr6+m3OfGvk4y2bTgFxySuE4RHFISaZNJxJZyQgA2Xrn/Mhp59s5WMnZl9cmVBCIAqBVEh
QimJ5B1SvG7cxrb21JVNQI4xczs42bw98XArK/FB6qhURDXQmSaBeGGu3YwWsLMOYeWBlDgYb4ba
rOyUNpIgyx4SMsLcVhirCGGiTMMHDoNvfattbA8hRQM1SElf28vq3ic8a5J8WERRH53HOmKsXxoy
wNyugzlQwtSWGMvEAGM84lhr9BOSvGpnXAl56yc3Ba4ZkO+dfCgNxCnhBJW1qg/kc19KrWx2eYeM
VlFBUCiiarb4NuNVEHVHDmoUhEmZbxQOEf44MwgdFwqzlparoq0KtuEovZipnCZLxtY1c8HA9f3y
RZ+nh9pXn82k2rK+nWJqMNemw4i+Ujr6iZAR8Ck6+bT66LaQuG7pa4FwU8h1euyS/Gbo4RjRVb1o
hHazsrh1rHmIiDpYaPmBlgkLIpkDijlc5x1giZKmGWvUPgAykIJWAp/nlnN7TGOJsQa9iVR+TGpm
HTBMBpvA2XxMvmqxrztNtLT5QIErrUz2kBaZ38pBEu48V0vQVjVkd4mSDWtM4hsV8T1scuYIoTUn
sEWi+jRbyVkV5Taxm2sFnq+bNo0zZuT4Ioz2WPJ2QvE7JG5GvUun/n7R9OEvdDvUzSk41y5cTQPJ
NKw53X6QjeJrvqAk6Nr8YM5GiGfH1JzL4Q0g0efCyLcGS5yACka3029ypuEblv7w0a+4Ak62u5z8
UKQtkF27qY73TNOwyOiMfE3V2nXMLhytMO+g5UEf12LCqTIBt2HSfFwhSXVn+NOdlevz0+znhC11
MMf1LlAccxjXLRKUTSkT1FBMFZ0oftCpe717qqPUWo/WFBF0Ew2MqLSwJcMh5xYPGKCsrAa/XHwx
+pIsTwSlJoDdprjIk7lPqulexiDVgz1CnBned6m4s7rKPozT2FPBxrVX+Onkll08MCuWv2BKIfxp
1KqnziAHDfE35XHIg45GmHGgrz6JJb/YF/q4ZvZmgzWQpz9cEf+/NnDMrpwwyIdRbVOnBDeQVrzd
nEWWUdYFcX5uiVTCdLHTjeF6qJv1x6cA8asd1vrzOnjadJRwvPbvDwGtOSM5CvNzlqanxhD3rEpX
VpZ9Zbms4ZfY3IAp3fZjuU6tZNuIkEgsgXc0P7BSHXWiTmM7uQ797sao5JUadi7oZzo+/mvRGT3A
TURis3U25OD544/+20/OrMJUgKhRzlLhvv2G9KwrotZO8vOA/jWY7uQYZH1x/PgiP0vUNw52zV7C
ClQsE/ALmIyY7+4DCngoOQmcxTKgi84MYadSJzqyD3eCohWKmdQ/wUUsrnObZ5CmzWANmAYmkmd9
lSZmnAEimLtreKb2bc6u1BXkfMgAe7QCAbEuSOTTi+AcwQUdfaZ8g+C9MbKBDDRbnxe713NCApfC
9HgzY+vxG8VYhWBgVkmrvki1WOtjTQahWpFsotmKW1TqJiavHkEJ/f4pNHbVLF7RVz+PaAe7Jedw
NNPTxGwWIMskMb0Z4pMclgAaR7p9gcIoN7RjlAJR8OB3SnZXDTr7h8IIOiv1dWOU7ZaAnVVfsMUp
izQlJiEdmcUF/3XujTM8HoDuR19+7rR1B1uMdfGLJWGsMxFwTLEGU7wOV3mZo56hHFep+2eNo8fI
a+ZBqSm8Ucq2dZsRKqOM+07un5NIhC+MzDeyUWVEgocnUcywSZpqHakNPXqmsplhpJgX6foZ83io
zOb08eOg/PZ54IW0eBwsWbHpkPzy1PmqVOT8WXvGz/isMi735rJPz4YE54P19CuDWrRAGLYVg9Cy
KCWwT01PfCvQaMLE3IqgOZHgi1hGnPTCelK1PFw3mV4xvJIpkXXRUagj6SfFB659oWVbwabuEctX
eVYtcR5hIZKzIncxbtwGGQ47JWwKdoOuoTBd4mPIn8vml7ownm3MRczSCtOtM3FviImzM5x7FfiU
gZrDrdFCM7oynmLLQCYlviNgXng9LAMAZY18vPPt+GjCr60wgBjE1cwAYLpJ3Op9f0ri8BZZ4g3O
lo0xtU8WsT4O50Z5hS6Vs2DVU19TfVtLC0ONJU/2SVZTDOlZ4plwS1v9oqjSkxISil21s7oKTRKM
Z4kY5bGAWlRvZDne2fRvRWE67EaelrSya1nDwQQbOCggjhVkRF3a3qlDebaRajfF9KwOAErV+jk3
abBPfE5M7OhqL6TNHs3cWA8kK4RmxBgG46uwo2s0OMlusuZV0UwrI2WiVnKgKYyAuoSXsZfs66Fq
f5D3sTTeF9dtjBMBkA7OfE+Qi6YoxtFgXh+pFXcJ6/YKmgryJk6oSRceJYW8SWV4ZEKyjMKu9FAj
7LFg3CIdMnZxILJbS0kxnjdr2jO5vdOIUVxoR6k/rFu2dxKCS+AxVeylibRBBnyYCRkwbShVgxIM
GKdYdGdI7bFiOfpgXZHZtA3y9hAM1TFfXL5tm0qXtBzK7ZSaey0YDiUZmsTXETWplpHiDjLsqXI4
SQ1VQgrVWM1WRWfmrj9cGfrKZLYyWGfYZQZIYG2LEuexlBn9ZPLJoPWNHVM7xuEA7sb3/QPGL9Nt
dAXjZOznm6GfvZJzw7aYUKpNhrmte04hJiEPjknPhURN5ZOtbXkT36/cb95UddENvilvRWhPsV0m
3dlg3++bE1GA7oi2xB8uSX1SqFg+XhveUVV+7hRvr/duJxVhmFNdsDIUxStpz/14A7EzD57w+X58
Iab6//zNDMQCwiSel6ifZWd885sNTdtXsdyPJElP9N2isVlS2+50Mrx3YcEYMBl7bEM0UAFAKSdr
IWAbcYEnNaYdOfD3uo0i/cDOfj3mquX0avcgRcWlkM3blOMbVQ9MNrHkRo2kqgTrrI2+5hB7JMTs
N0HHjEoPw3YDi+qgQ+vkYLGaFDLGOeJtSBIxH21h35YzwwlV33dqu4tUcZiDaaeX9mVIUF+xbTPU
OSQCoVQnLS4fdyyVx6ysV1Hq74ZSgX4Oj67VMybyTJ3SIfhSjXb9KIIl6aRRg0++1V/7LRyE2Ojf
fqm02d9+qYmh5VGN2eNsjV/D+dtk7T++a5/9/e82DllKOSMHyXSOrFsy3p1Kvf/4Av84D/36C/wU
d7x5KjIjS+REBNNZF1dYsB2+Jjmc/hD3/I/H0uVbeP9SIUewkJsYim4Z7x690WwQE2j8FjZur/al
HTLOJPfRaH5yN8SvzzhSFDiVSFGUBfrC0XSJAHh7OyaG9kMwl+LMMeaFTc27S9e+J616J3Ifndx5
3Bluf/x2E7nhw7h6TlfTN97oZqvuPv5Wf+ZRvf+N37zWPz/om6/V7iMbAT/LSLvuPdmVV+NttwE5
vbZXgE/rtbLhe14jhXVkJ1wRbdOvtHP+8vGn0Jdu3/tP8fbpfOciIekktQQ+sfPTuBMruOhr+8p0
Lo3mhN7mUXePhpdt7HO4Hrf5rb69I/FzM25Z95x5Axuc6b0DF8GTjt023zSXEKGiE3gPhdOdSWfa
6Dt7VxxA2txn69uPP/piU/7wo787QUuiidJSinguncIp181ruS7vFA9kiud7gO9X+TrbF5url+Oq
2xGcObrxHuPhPj6Dcnd95vjOd999+PhTiV9V4/943Y13uwPMtr5m+jydw53thO68zTb+XY7B3SWc
xnB8B2S/k26sc7UVX2mkrT6+/u9f1r/fo3erDUuNhI94Gs/yXKzMYTjMUkJgLizOj6+zrCr/fG7+
vs67VceKLLXv53Q6c6Z2+uFFHrcDlAx1VckEQJXrj6/2+1v976u9LyYl4rBVvYq7c8hoafJvyuD6
f3eBdzWfOlqpYRBKeMbOK2L6gLbpfXyFT26MubyIb153KSut3Jx40QqojFmyLsXT3Fmf3JXPvqd3
i1ujpLh7zbiFu8xdQe1hj7H7v/s93j1gXTE3Xd5k03lAOh4ZuM9AW2RXH1/kk6fLfLcqGX4gTTTn
2A1Gg2QK3Gtpe1HVzjWR2cSDOPcopz++5G/vz2JEYQysEvfy7pIIJFUS/9rurJHXi19LDWnybT6+
xm9vz5trvHtpSOdopCrUxrMeY0CWr7Psk67CZxd4tySi5BnhyVb9WWbRphmdqOknX9PP/fGjF//d
cxxGDH38lOeY2sCp3GDfb5MTJYK7xzy2Ci74Bj+JTgJk9PFas/zWb14dhf4fvsWQPeqJxnDOqops
2WFY/6wc513vXM0Yp9m69RXqPce6lpybdrXs6ldfqit1T9UeOvFqap1t7oabzz7ebzfyt0eX909O
VA+y4vPSKZdlI5ecZpNqu1xxnWSjeY+5s0f1dvghf6M4q++nA/TeT1YvsSxPH92Ud/edwD/M3PbE
WcJDP+jBJRCGYx9S78Y+G0f4Pt4XjOtOTsd2XW9g87vSJyv0Zx/BfLfvgZGVtHwo27N0KJzRo7MZ
fyd2wzMP3eu4LVfZ0dygzvwRfFHdcZNcAi9+/fjt+ll4ffAtvCd1Jr2KZSbn0QQxs4YO4UTLqW6X
uHf9btztCHx35jOSrEd5jd5rXW7MK+KJvW4V7gYn/Jp+slKqS2H2j8/z9+uuv/tKLIkIekrl7lyt
tI2xgaYxruf1fIwOivMS7Px14lq7cktT7zi65v2KTGtuUbtJ1reRtxwS/jwc/JfQpvDOfaB4Kpr/
83/z4DV9bX5j+eZH/y2jN7F86xi+ETj9OYL/a3CvWP+yEdHrTPUNxE8Kb+Bfg3vtX9DZ6OPCfMAQ
vgR9/VtGL/CJWxBxdF0w2Iep85+AcX7doWhwKpYs68gJEO0jv5Lfbe6xRXrskNvxuctWs27S9tto
1eObL+bqj4fzLYkWSu4vD+0fVwFhyXCLPgDK/3erWeXjVNFnPT63RRylkD3kHEkiARqur4pkFatN
7RaTUI5mYOVuV4axm87+oSci60Yuw+s0sjZCD6PjIMvkeymS7ipWBwlbiShyAl41ke26Hk9Rb2/L
TjniH7puJnGq5uIw1uolqoO9HJOdm/WkSQCSsXEMoAzyO7qEkbC/KyMMcES4/GFLqi/hDz9waRHK
mhsc6WF62VgK+fkRjI8zjShb94M0cwwfRtNrJQTSsU0zYuxmBF9JmwPmFNqDz8BkY6a6+lVkEg15
7BSbSE5CWuJdVcLvmaqEPpsCVtlKCCMJ7NKPdwwfW5M+B3OIqZmI4+lQHI2GFYZOq5aq9TCLygCo
L9JNLeF32yjFAILaLRWEI5Xb6Vk7+dgnsYhalZBO/P0lcn6cYAuXu1i0siQCeaQD1+i3ROrVphVt
iTRN9h3ea+uK6zXqV30KzOYgpgIhazCpN4VZ6+NVqOBXqoLJBr5hmHvY7cEX2VC0x94MyWBNJziQ
bY7i2cJxXzO1XGJ1LcR0WDWHxr4vClxfRq6VK4kWsifKMWSsRruuCmi59ELvaYl35qrlOz8C2Gme
G8LgxolY72m0yDetop0ERH3FmStyENwON3NPLpM8pSu7UOwb/OgKo/gw8qzJhmFQZnACEs3rC/aN
Knok1bU/cut6z6iwS+B+E16DUIZUujHaGzMjSJNYqw0tSMXNbfysDTMkZkNVszHUfjtopKeGo2iu
GVgoiMOyU5Snp75uKA3r6For9J0VdtSLRrotojzxAlW+auzhlvFnfx/0o/WD9ALy6xLPGEbjRxF1
nk4aa+JXyp0sdWvE6szUi2RlS3gMLGZWoxU4zDG+N037SjX2OsXTQ0WLulb7Pcm+axYQqK3zRhvl
02T1AHjaraKL4wycP6j7byCWiJmT1umgIB1jSNZNL4SrIDl78eVO8QYjVRHgAVtM9P6LbkTf0tnQ
VkaTNPsWD4sjDfNRZIIAUnEyyg4aSfKl5PbhYEPebJlAUIx1IKxtJ8/IzJtVkPkCJXblqD5KBqXJ
ZSzLRMIoE4FVpnnF73jDjJfxSzQH5Mkx1dd6OTohM0/gJIjrNgXlRh/7EIiRh3lB2FQjFa+PrM3K
poPNSyTTaBcMskbLOlqlimu3eCQ3FLuyeduJ4DqvyqPJf/dIfLKuvw5t0uwEkco+doIgGB0xJbTu
woGufF0UblDL50RKvhaJ8rVExx81CZ5PhC+dco2XF/ct0QlMHhG/u1VaTYfZNJFRou9DRvBSMTDp
bN2za5BbZKU60zzsrWKemGjl+b61CgTrmCClEDfeFMDo0Uc12VR2uWFKJt3Mk1R9coCiQ/nPlRdh
1s9gFJk/td6t7+GkYN4wUpxGVSJWfWpPKxM7OC6cPj22mTp4Zu+vgyLMEDzOr0pZNddVlch31myl
Dq6Bm27BWI2+l9jmozy2myo0fuRJHGB8oY8exL7skAC4Lmae6dSP3MLXGxcNy4xcAKyHabXbvii+
1ebcuVHcPAg8Dyus4KqrYAlxUqJqK7cZd0qZ0Cmi+67E9UZo/VUqik2Tmd+nNLslJWTfYaGam3Rf
deJolgUh3MLetMNUeM0UbcUIh6rpI2weEkGnWrwJ2Je8Rm5utKlT3DI09nIIEYfkDZnEEIXkgHq8
R0SiYZ7qKp4FcdGiOXcrwwBjHCWnvpzPYRPvkkHf6MQZgM6s0OsnTO+sxY9rIX1BcqMH5RGjD+PJ
XFyidDikXbZlXyM4pISyU0wNboH6QuTwDSx4ulyAST0jlxBPlOg06/qKiWDP4ZZQyxrDujZpUITH
6NmWzUMEaZIYwNK1CGlMkup7UskbpWTSqClfyIf2MhXGmq1tB9YhtSm+F7Z5lCsZvZotffeZLDql
qPCEQg9J0kzZSeWylrXHyDSehJyuZXnCX0O835QJxY2bKQHuElzUWVc88r0QfZSxtRVZ3D0UOOMP
hAvXuOiGbPfxIeHXKvPnEQEyDpNKAW+Bjte7I0JM2hYwlyw6+8h81HiPa+6TKnOpV345Oat0aHEl
0rmmJ2wp74pM1YCXbdlBcE6NmNn4BUvGNipv6gG/dp3SdsBQHK8+/q0Qknxy1Xd1ZlcmbampknQC
eneLWm8hI+S37IpPCLPhCpJ147aWjmBM3fVdnriYLWLeCqbtsogKN6/np0Iyj1GryS5+Z7LSB+Wb
FWqml8nxvWFlg0ej/mCm2hfYXuNeSVWj42nKi1U3m/nKKiUkkSWxEWY+TbtuNNVvRR63a4JW1VUU
RS8pzyotNiP0WIEnrwUF4aKGv0XZNBNGmdyTrih2WUD20NR+J7hwy6Z019T12miYoAk93qoYlglD
5YSSDnm+meZOdqvMQKYz6Kifo/FGhDmwLUK7KzUwHN0mKKTpEfUMwmnKaFdr0pbo0rtxJsNETvZ6
W0D2WqK/Il8FPNNGOQ+xvkvmmKzxyssnX3hqimVP9RNWWfmxX7xRUZyhdxw3ec283595gmWEBwFa
C2TxRUxifDnHllen/qlcMFq6uVUK6H9WMN6GUFWdsZSAsCbop1SGt7PZbiRi3B2lK56NoDrVcnZd
laTWtWMLY3Tf673k9Lq6NQnA9EpFuc8nwLM+Hr++7s7o0jQvLsmUq7VXq5IhIS4KLl3bBKV2NIfP
qsOf+JCPnvHlIP6mqwFRzOwFKXSn+JhfBWdpXR2qh2GDIGdrHC22HvdFDA5Bmqf86/BJS+WnmuCf
F1+UOQa8cMV+1zBQytDKE0uTTqWnO/lRuOUa97ZykB7NtbyS7y+Se3zsVzFD12f+kZ6no+zso7V/
XlLkP/k0v258P6VCuookGY61QRn1vk6e5AE/lRKH51C+ImnQieTHut9+/Hb/umb98xrvhqhznXVS
GAKFKKrXoN7a0yctmN/+DiZMTXOxwOBO+fVuZqMBYy+q2Lylq8rmfdA5c/6xQv23fF9W4v+5fD89
1xHky+d/1u7Lz/27didMUwagjidJMzXgaL+I7gntUCGYLV4mk1v3V+lu/svGqwSC6E8oG83svxxL
JmYmVZGptNHbm4tv/j9IovuZhPdmR/vpgCfoE04bmi+Nj/GuFxQjdBXmLMJLJhNWewoF0YqjIofW
Tq/zPLgqpEHfz11lfDVCbeABlXISmodRGr7Us9k82KFW3Np2pM8L7Xko1mputo+N2qHRXDgQKyOM
idqJpIdRoDsfg1lD5QjjQ4zGlQVKCyXkpevJLUmnZwagzyL0NYfF3misbAWAayNS4DNiQo+qJMZq
7ImMk+o9Ky0EkgZ5LMUJKHV5ek4q9KjVUA8oo+jDNgrJkxNHUNc2rHWa96hsFiKu3qE2CWqIGAP5
WZlxo/UoeiJD8RKVk6KPygCmhWf3ynOVV7elKr7C1FHB4tbDGgYrciUxzxsrsjOXupbToqbfxIZ5
7K3mSTBBSYw8PZKMdehCOJmVLyxPa0xQdXVAsvNQgtOck5u+Ku8rbS5Pat0jZsoZYNdLwHZNrhxY
R1TxdQqUtFUpbsc8SI+Q4FezWT6pBgDIRpGRx8j169zUEwnIIxSPptsyZtnIdrZVsNwC/Ixxtdqu
pqE5gaiwxs9I6ELMd1D5ygAA0tK3Uc6/af3YIcIpHvIw+Y638trSQs8q0xclCe+MoqVp0Mba0df9
XVRK11G5pLDqSPvIb0dVDhUtoG/lFil6d8O402oIouyL340iP4C7vykni7JLtqjzctN0sI7H4L3H
Q44Kp5UHCDdFvkkjdFBC62a3VXrU6/lDbDSccg3krdhvV2jwbnNEoa40QHgLZWutVWZ/7hZnP+MX
q3VqbdcmRvZAeT56ddIhnybSWVfDc04ImFNJcC7jqbuvp/ib3w/sZ2HdOTqUX7JiHw1hPZl+4Ipa
eYZwzJF5+RhyfyNNQOL8+ZImEQZvsbb9Kx7WgqyR7pjaydU8GV8jAzN5jlljXYN9gsmbtDu5nICc
89gpenwsBGisBU4VStajBLIZpQdAFiUeAaPXS/pactbL7KLa9YFQx6u+wdje9jWHcFODCFx9JQjV
C3Vxn7Vp4BiFuS974zJFg4oVrztINiVYX9E/9ps7Kza/GdJ4qo3uVfjZXdOaO8U0jnGfKDs5NA0k
4jYE1oL7gBHre6oMvGIzLjRrTAmCzo0Lv7zhtEP4VNU6MnY5uwhfueLYsa7s5Jsk+a5V2DLsadLS
MjW7WjKW8OmGBzNr88fQYKtJJ6A2kpynB4lcLHwvE1pO2TBcMErP2NqSVTul10rjP6VSMbm4O7Ep
UobY1nxM8/bUKYjgO+3LYGTPrarsZ52LDhBeywiZmL0Ly/bSpPJGU7WtWhL1QkQlsFlDc3LNytcT
CF1NLMhGRcF/H2IcadVDRHzCdUOuX7Mfe2UpsPMevTYWEtuu6HjE1mOXQdEJigzrTEW1ua5SGelP
w6cP8qLwylETV+Ok7dlXlXPIi+Vyz3XipJgt6H3NzWnN8XGu4PTD708PsRbrm5avYDWkUrpVTGly
SOIxwTA1fgBE1mjDbSupGCA54aKCJfVmLcVAu37uTv/dppcj7Mfb9O9sxfzQX3s0WD+VzZkUkz/2
4rd7tIpnDpapoZMfxvbIH/21SVv/AjsP6lSzZBQ78jJm+XuTXsJdgdirPG6ItZX/ZJMWP8vKv0/F
bNKL+Q6xltCWT8Ff+OshDgKzbhiSPF9wiD1UKhyVlApwEb5Sls3Z2qqMjYI5XZ+gi4/2A/j0wCHI
gdXANu5iSzupRbvL4nhF9J/feKaZEewY0bS6Twsb8KqQrwMpr3ctgAXbyzF5fCNvA/dsrpC1ckCw
mI2YsGSiFFK8WriGolXWxd21nJcwnTvjdkiWEqifLrYOlRWVnVeGILersbibJumBrL97FUuKIwum
/3INt0SaLmFk7XkPvClsXupZBe2UD04QyzdlLK7ADTyIvsm9kJcfcdfSTCGIo/PzHxPAQSdE/Olr
ZuAJiNYwc8YLFr7nKgVCoiPw80hS+o7ZZPZamc6gPVqrQG6BShchYHU4uWwikjbthhE4HXrUg9KZ
FzXBYKSEh7kzXVkJTbfPQs4doj/UffkYyvYXiWANWtTqdVI0K8R6D0kEBbSO5/uW40HfKeVZ8QcY
FMUPIStUcNGN3ZWQbtTsWAbZTsmmh6RhvS76H3IN6kaWJjS5aAicOerJDpCS1lFhzVWNRBBGaLjS
VAjPFxR+OtURJyHocjNNf7dvkcyHxeC2S6Z4EdPLznBMr1Alz26OuhA2ovmCT2ufq8q0aX2Ui81I
Q9oSkBDUbdfVFz8lIkqlZAd7W1clW4nRZZtWR23v6Gm2U9vabRr91I4otNWCtS7M+7Um+98STnNJ
OkqO1gGUycfnwMBox9/JMcCmx7mEwYbsIaEqPctgE130rzAbEnp2jf1KXBg5HHyxK0tuurXoQuOY
Dip5pnl9iyFSO4s2Kw6KCGjam3bszXW3DUkVIJQUzHnam+ymmbKhBdbi06iMc8d8x5S0Hbr0B+Ze
W7kTD0MPFA0bg+yh7lQoEUV8LPMCbAw82lWos2D7fSw5+RhrLlG//mZSFPlcjqq4Jn4X7k3Sb2wN
BfEQ7LMEEPhYiWeqRd0jpyy6mKoYXJs9cbIATragFHGSp64+5N+mBrVzHz0VAcnxNoGjQcj9jNkT
L5pG1uyYbd4sar+ZkL0r9HQZ4gBAUEo8Y4FnLdSEt2V7qY4ExUu2ckmz+0T7ruvep/2131wC0aih
gjZgJaQn/OslpjIYmzjCM5U037rkairvcvsPoch/9yjB7vDBHvWafy9eot8GpPCDb/Ypi93BsvBo
cxxdwGh/zYGFtpDWiBNEQcrtWXqff+5TP7PLBfpSm+cSk/YiY/lrn4IXTnND/jPt/D8oJHXjnRiG
508nuwWcGhpZhLnvW6Nm2gYWFAnpokipSwYR4CxtfvUHJnqJnhpOp8prpjfAIYMs3chRWd/YdSZd
C7OXVN7xIjdJ6LJpr9nKpHpdo9SPEJjM6UWXONsbIbZgISZtE1ctrmNhzZA+B/6NfXhjWnLtjPVg
bUZCllZ9KdnrWhFPeZnIL0GVZm4lMHQVoZkyd2rJyQqW423B/6uaZF5j4qu/gmNVyGVJLWBSvb4f
cnMfx7UKZrPe6SGbYdNJm05038BFcmoj0M9hpYMwsaxi0nSaAoSnmamvOMT2ZyuXMQLWcbAC5QvY
cIK2OrFb0pGk70cgKRkERAlbFJOO8OtyNTNIES1mtLjJOdNPLfYIS59uFYWoCJyTxJydoyoIPY4K
1/HckhQjFPJlKK8tju8DRLkGMqhhsfdrbQqVtdeHlWmNzCuIJdznMCophqJxBxNKXjV6hf2opqjl
0C8XfGdMRrkt0oXYtMnRA5sxNobmNtL2ldbgO+yL8XqmtNjkCKKvx16+YC4Mt3ayeFQ5DAO1nedo
TZmS+2T25gRhx/FQbGvwv1g1zCVLesQoDgZMqhmZhTPsj7z0bzFolZs+XhjCPNj5Lq/7ngN3Ee19
Q7JOkQa73SFB6pQQJWzlJ6Xq/GulC7+kIQbtMDeeg5ppxtCAfOJY9iVR2mDlt+UPSuHMbaXgmC4x
I1Y8XVLmRaS2Zz/CWfdoI7cXiAMTOXKgZrXaSlw7xzwh9cau7itzDw1Vcft4ug3jRbuUZRst5B92
DcNq1JFJatMgbAeX5MAHaEUHtrfuB6Gder2U9pNqugp2KPVK1xvYUDX9ZRkzq666Aiu7V8Zpe6wr
G5AeD9oFYoaxriu9OhgahYZUQByoaW4zCOs2cPW/LtseploFC/vY7IcR5mnaBwp5Dr51ToAeS5n9
XUjN0Yiz66Lr7n1S0prSZA4ipPI8IUreCaNemHjzVtI5PgCETTES+j4Q0NdWGg9RysBIM49TSE6X
GYebasQhBB+L3/liTTmGOPAMvXTQleiYhdCVok73T7kFMC0jVG7dhcFtOI3BrgrTXR2jwqu4SVZI
vTqAipVifOhQ156DbuANNKLL2BeEsGMmdKS2z1yyJLGSpTu71VdWTcJhDaWEaapbWD8Mk3yKNlvT
eVoTNO3KPbtsIDgvsvWGZbwze43879EdlPZn3lJIpyq9t1L5QmPhnhB2i4fULgx4j7ax9635B7jm
G33udibJ02qWrQxCSqDqjweMYi5+x+fQUDdGjbErYAgd69ZVg5vaKsR3m+AYJ0vV19aebjRpRJBe
laepmgG+a27JPWbgFbkaU0Ime+CCZRzufvYCJ+VuWJ5HJYl3uJWvCDe8ZBbmphjt1VhAGS5cFlKK
Xx0pZj6ep2pyBTPg3O88yaJInqUNDY2tyZAlK+Ot0QBX1ZfZqYheDAtrpFRupc52kxAuQFlc8lK2
VrlcbJArMqnqgivRpl7UB9uRiJqskI7AFtdQe4FhEeOHcrbiFYHA5OJS8ihzXL9NiZJ5LXC9jghL
YkveTjLHmCF/0itGpDPsf41rcFzUfHFhenbbtMaa1hqksPFGG+27NJ7hTKQpJIVB3mQazATf5gn0
JRg18tqysx8TfWpWuDU0SrcJLc+wRlCKTbjj/LqFsvAkKy1tAOvWMMonK2xugn667rLv+VS+VjJB
21B6HFMll9FAd+9PXhJoq1CeCKMPr/FfnopevaEh8kORSOCqZUce6EbJ8lay+63VSP+PvfPYjhvZ
uvSr9Oo5agU8MOhJesvMpCcnsUhKhPceT98fVPeqRJau1PX39A7LkCAygYg45+z9bZi58U1oZofa
VO9ov+HUcquZZeaT6XVfiWbFq3hVuc5K1audLsGm98US/gFGq7RaEK+TEkihvXVN9sivAr8pKW4q
Eu14k0h19Lv5kHYvVVpxCFf2RL9uR8VGwoMlrS0jfLNsEn4uYYT7A4dpy15rdfuA9/25Lojcyu0t
5FTAQ4acZ3W5wee2FX1C+9B0mXm3j10pHrIyvM4UFZpcT0ek4bMjWSytN3Zt8nTaa+ZNF8jT+5w5
dasQQBPYG6eXJ6mPW8zvu1aqRz9jxpQ2wSqJhzPJsIDZcIp3Duk67kFX+6cc0eBQUpNornMnS+tS
ldUprczrpqejQdDETcMJtM3BIZYjvUUzPgAXJvagELMOTmg5LVRj9jhE9V4riTzM8QlTnYU68t1u
OvSk4OLSuzIfdqqW7RXN8E+KpO4ApBXfVICF5qNW70qmdyOJT20dsfGEX6Au3oV1AiOAYfvMtesn
AymPRkZmmHnLKFC/WAnn/bp4jEp/KzT1xHoLwGniWHTVnmBH3svYjuajUJ98s8pXrh7dJmVN/kcf
rSNdPYcRNIeI/OEUHMwKQdxGRta805RkGYAqadGh2V7nzdVBW0Qxs30/PfeetQ5lv+uJPMsVdEtV
+FITaEI2BmMrvC4z5PHLpvGWpa+kcxCXCMCaeRKzSfRuumkV5wve6xUJGmuvtVeB6JfUMaw/FbRB
rx9XfZLuhxqjWW3ewnBlr6nzeQpNoA6iueJ3yi6Ftp0LLGoACko128ZKfRxp41dl/oYYARlG5RLv
1B9bgyIuEWx/Pxxp/58qFJO5nmbB85wme5/HaXVXlmUTpMpJJABFieOKrhXAfL++yDTj/6tVwoyO
Y+hk1VKFDiAG+ePHGgUWrrBMQ1VOPegPoJzNUw8rW4fw/jv7488OvD9e6ZPaIJPZoI6SK2nOlW/Q
0rPV5ThuM+s+bJ6DzPqNavfvxRc3xtuE+pGGJQ2pjzemwRh1ZJx551Z5rpt94b2l8duvP7uf3RGn
ZQ7LXEY3PtOQJV5o4Q65f24NzAzrhkyJ2Kep4K0D+i1affXry/3kjgivoGihYqWgtD6JKSYurTaI
OjgHKVN3HcCYt86j39zTp/nq9Dx8uMgn7UQlldq0JBcJmfjU5SF0/cX/321Mt/nDvLytR9r0KVeA
w0uWABF9t6Dbf3MR2oyfH+sPt/Hp28+jIcrbpArOvQJz35y7wdmASeTaTyYDqOqkNdVvrvizbwce
tAASZyF3+Tw4jgInCdJQDc52cSkEQJh4a8v3f/7RAbKwyE3hOSD0/uNHJ01dsZy2DM/wA5aJtbBB
MHXx3a8v8rOPTmcCzoRT1W3AXx8vknW+bQdBH/L9PKXWwadSDFkMXHkTNnsDrl0nL7++4vRMfVqD
WOL+uuKnLws9Dvo9dYB7TXusrR50DlC/vsInt8vEqjRVG5qlxtDW4n39tPhUGSGUfq8m5/BA13bL
5nkErbE0L/61OU+XBL381knxswfix7v6dEmI5kkPBzA8txaCHeZjmsuikG1+fWc//+wYRgt2ThJ4
Pn1b1ki2To0q6SwLd66BOHbq33x206f/+duBR8/T5tLNokX38XnIKy2A+q6EZ5vSd3A0TpvPgQFR
JQx/cy8/+8R+vNKnBY6KOCsZu4VnlUA/52LKm2L8zfL280uQ2aa6GABAmX68mUCNWscYveicpicT
pUwfaDOCEn+zqf7sFeJh+36VT189nCe/HjyuEkRvsYIwUVmWpAhGzTyqz0q0js3ffEd/uy34qWS+
G4KBC5MU45MqgTQtO09s4lHqdl2Uz521LMbrf/igfboEvbQfl+209fhA/SI+k2c4UxVvMZC28z+5
xJRhgEfCpc/28RJh3ydKTKV1ruI3ZdwyyP7NBf72KHMPKETo+po03tApfbwASyd0mRSXI+e8pCGI
INwGSOtT9+u3G/lvV1bjwftFVzZL668o4X8i8OHnvjdlxR/0ZHn9WE7+hGD+1ZRV/8Bew9dvWda/
wMP/Hh5af7gquGnWH7YKftu/O7JTGKMDnZNjGDNHcJz/ZHJom9MS89diN1EF2PQsF8kQXXuVIefH
JyTJyR0cVAc7rD62q1xIYwH04skmdSuzmwcA3HfReJFDu9YKdakVzqWpvTsZj9Gc5pVOjjzpROlw
RDvgKW96F90l4MDAXJThGobkq1XTTGU6QtJLuBEe6Y3E/NLnLeXcb4nWYgb2rKRt/qrWaYDOMu6W
RM5KUh5CYO6ltZFeuUs7Tpmh7j8klN6k6TyNlOdx7pTzjuibIYwurq+/lJb62LeDNqdFc4S+nc0H
P2IcX4T7pqHnaWKTfhiE8xzAF9+TMCSXamdapPeEd1ETP4vBHrdGQo8FBC9t0nEzFtpzWyVXbor3
3bJv3HIdwQspXHSjZtjdNX7w5ATKphPZQ1Uq3s7W8oVLIk+StuQ0IljHCdwPwdUkWikGAFTEhn3J
kCWQ5A343+qu3EmfkQXa1shWNK6hJtLb0W4mGSgtrDp6KjS/mPEnrqtqpB8GFjE2aDzUJpDcKNQo
rg05y8yq2rQEnIGmAXUllQOe8G6T1XaLGrRZdllICwwij6BRZ1g+U+A43hRZ/KWk9FvUWoXupBTr
0hr9udk258FxNyKkgSMk6Dk/pYkV0OeNU64X03sxPXJ57PJVjEOA/p1TkzMuMorW3pLulBxxoLwG
ruNeJYQzWSGcYXIKAIj6SPbthW2O8HcMWmKxMKG2T8oPjzbX3Opa0qgixOmxXQFxCepkHthEGw2B
S/80gbpf2y+0TrdQg+pVU9GBYkA6Nf4vnQ0L0FY57hb62zChfIwivE5V8st9vjkl1+9MOKtFQoIk
G6VzKBR1GzvZMQ/7Z+bX935VvaLYZUjXDXIxWhaJIGETzocSnn0U1tt2qLNFi52qCRDqjJDG54Gf
XMDG6vOo7TcAtrMVWFVIhIPVzaJsq2tAlRBUvfN97LM8Pxmlj/5LrIGY0ZujyYdomo5arN+E0FPx
mu1rtTtmIwJ6Ovg70iUOoK22WoKTJgacCgPrNSRS0/U9ElK0eGYhk+6q4CZvlDuKyq1Is12DEjiz
rG0kvBP6mue0iu+sqOBDHYmd08u93mTHpmWQTGfqEiftupfBwWgsUgS6Te5mW3XavgdjQ7Nt5xk0
JstB3+f4DrpKnIVvxKsGRqv06sfOJnirMkYirutT3gA0A6O2K13t2gzyfRS0G+AoDXeYNFsiWE+G
KI9ebtNybBlHDCiKPO2myqoH4on3sg+PjQ+LyhuuUwiS+MD9hyj2V2yND15kr00v2yRW4GzJy1hb
bUdYoF0f9dQN5rCJLwYdUgZjl0RpkZ2JYu435bZ1xSM5f/HcEXG8cLXmGgbroYFaPsNb48/YHx9R
/mzshtzkgYizflTm5Fcd9dh6Hh133SndsnaJzA7ap5Qxc2WK97ECVBAE5MAjTwoEB/GZPSppcq0F
ZH6Q3hlrKyczWft6Xd8RyoILzIr3rtcc0H5t+7qBNqG6e9/3T0Yb76U3dDNaUMdOEuASuOlrG9SI
qcsYNJ67LjL3qsQRg76pXyWFUIGYqveB2hx6bHF6pCAqCG/G6StETvqaqz1vo0ekRLdXPeWhF+1J
V9UrEZH1YNlTfl73oikoMoLcowVdkIZe812UqrlKG7B6hZM857p+HNykpkNUbqIsXJO01y0qS72n
r7wrqnbm+5AYK+XSIo6ca8YtSA3E/uNrGNs3o1l7h9Qs8q3w5HWepEdlkofIAlrxaD6rubUm13Zm
6MjswhojWFf22ibqDd5l72tEWjdel0zsB3s4IITVVqoKaE/ABLULs0RZ4OdIRGl2W57YVEnzWHXB
TZGOh6HxbmVZbVKF4Mm+c+7BX66551tviB/qwsdSbZyjid4q2rkWWsDLoeSaRnbqau82EGO1cKx2
o+BLqEdnW1bWZYzVTem5fDTqSSlKjPy0ldtGu4niDCSdmk4gui6atWp3yXXrWMHksJZxpWjxsumK
4N5MgprFn/gxLWUClDjxBIOzQL8z4gqclrdzPBTMMmdWyS0NQ74p+2Fte6kLetJ0GMO06XJUUA5q
LeBhr0U12DbJa0tOimGl4YodhkkXwuBFDru1Z+JmZvVGEvG26GN0FVnrtjsAUgkqx+E9LSsmliT4
RANuED0s1ZkVIIAx4/ihzTxtIQarpB2NSg6Unq3MktDCkJB4BwYn+SklHuYxVG10n+ZYKqvG6cxL
1aUj/duRCWYXGwRatYjjl3kH9GpUlQND0h0+o7PmRCujD5e2Nt4nhbz24OI2hcaAV0/nWuxAdlOL
R9mZ4dQlXZYqcNc26tcNlL+lXtevbQj9PnKeDKkf246JHWo/jHdA4UyaRNUt7fph4dj+CyvrvdDL
DSPmkzD7rzLU97CoTfyoNHQDEtgrRX/MR3NvB8kR+7BOWnkC1JdOcU6bu2GLLgfGPn/GmpqA5rLr
uoqCGUK+be5ZB7MPNmqJxTHKt5CaoVaKaBHYaISsUL+4XXJTI7FqswELVZrepvhW5gmQLxF0WyGU
o2uoc45Ca60vtrWE2xwRLG0Xe0jZD5ah7+NU3ZU6O63u4NHM32RI6kPkXXrJSWFg6jBKf1kiAjaL
+mviuwclJe+Yh67Hg9u48RtRaZg6yVfORHBdauHS0gJI1OEw0xNic3pxU0UKLeBUUeYYjsk4ImwV
mZJs0TdPcqDGrVZ1qG6SRnukkCQFVu1XpsL0FpEiR4sCyHVcsLpHjzGUE5JnvFlXaks3otZsvBgr
WHhPuMBad8azaHEvR7V6O3TqSg/zhwwHOkM1DGBKG3yRZdbO+7BrlrWvXwE8v5Ke/tyLGmJzmEN5
tNehG2zdQLgrz8O5HY1f88G8qnMI6Kzv9cHSeFi8rDPh8tmQEYZcXcrBck6Zmu1So1litLSQi4lL
bCiHuEYtpHj6qqoYN0vTR2Bd0Xr2B+vJ7Jjpuqw0dOj7Q987DNa67KE3x0uuWE+aRmxzHhSPgmEJ
yQzNKqramHY6d+1IdeNOS0/B+A8eqL/xyjicm3l0zJnARp4ynqBZ7wlBLxYao7lFUSbvSE2JhBgK
JKn8E7idhdoCswz6fE1uw7azmcsNdYPbdtq1TeOxV3nRQoEjqOyZkhWDcaVGwRUy4bkRGv7W9sfq
kDN5QUqkw4iLvV1XyotbxU9M043N9LpjNabPlbKbU8HrT46PgDo3LmrXBwdXT+E25lsvF7fERhIG
YgrGec3aI8NXJNGh8MS6sQ3yG83kvXEy8K26BnXZuY3qbBcQVRW1EMnijqgHrX4c1OKaQMhJlGhf
hap3laA+j21j2COuui9i98no9Wu629ne1MN02SAXW2m18TQm7tbFu0oweJCu05ZfrBTqKlMDJOyp
0W7CGBlxhZKDiDYjEfpNr4YaZURZKsYSs7ihhfNIt5SlpgaSwOAfKr7zn6XSj+ABSrEfCqgJm+Va
pCLgBFeppeiwfCygtECIXtPS4BTmFNbpsRr7mWvc/Poin+r4f10EhzvqLcZx9lTF/dBCjiR8AaWq
AvDNWyU9ClJPJj59d/vry3zqrf15GRs7gkFT3BbOp2aRFMKlChAc3LX3LrtT9N8MeH7y+22GE0JD
IMbH9fmzqtzByjIriU9px4O2ceTLP/77cTFpfEJ8UJNu6ePH5Nl4+XWzSE4OdYd5Nv8lPvuPrL9P
84+/fT6fvmts46qvsJSeSMRSknmEmJ8oBowAXwkQ/vWt/ORSYDOw7jlMqQBef/oqYscDLzFm0QkG
KdO2WsyAEXvGnG0YnOWvrzX92X/1AL49wh++lukR/+HpEmqQtLYVx6dcn5M8h7WaV4s1dWhXv77Q
z27qx+//002ldugypPrzQhDT4XOQz8w+Mm3F+W+etZ+8l4jMmPJNVl9d+0wp1EnKzth401Olr2T8
0vZLU779+nZ+9jj/cInPj9tYmZyVTJGeUucllE+G8j94nCc1tw2jWlPNb72bH76XsIjN2lC09BSy
AuokPQ7/g8ULDa0gS0XntcFR+fGbT5WU872lZqfRfunsq4Zhs6h/s3b97EvnIbZN5ivTqO1TH5Vk
yjyFJJyc0C+gpMK1opqXFgp0vkDR/etv5CfXcgS3oam2YzPM+bRO+tIRuhua6cmfauol1mYfFkEx
yzhjXX+71H9bnjrN/f/c8iRN6H8dX+qv2d97ntMPfu95an8I+vKUOSg+hTHB+r8LUbU/TE1VNdN2
mcB/Cxn6d8+TXF/haJNA1GIs+wFIhKuRHjkqVTqpnAr/GZDo44v7zS6BPdIhyshmfEmL8eNjD4K7
wTg+dCeRnUsUQMDaf7N8c38/LqlMlZlZ09IlwXiaKBrTg/rDq0sMW6Q3NrkplRHuAvteEfgeLpWx
UeW5a68qdfnDl/CTUwgy3d9ccfqLfrjiVAoHRAE1nEPAB6PxrGEIkbaVYKTLqktXZs6urc0c+LMp
Ab2srHAoloWEsL+sk9pehiTRP/eaq22JjZxQNDTu1CrTZ7rjH0wC17EFRPOcCPZWid7JsXucBgsZ
IYtocw1UYx4xGeQvmshOfWdZTqnuuOQ8+j/WupoS302wtisvD7K1HHpo7VMyvF02aFlHZq6Q0G+U
Du8jMfJO2+4xxuLbC+DoEDSPP4CyWTpggQihNwYIB6Q/SNrFMySMG/BG59bXZxrQ9lRMScEE2mNc
mTW6cldOSfdt+twSfN/b/qa1x2qp1tUa3MHayJ2dD4Vp5ltZR91XVmsiZ49gvscbuxbfDNFDld5k
IEk2VoFCn2p/U9BCrS9jTuOEWJGyz06xZxxqodpXaTKaG4N0H4pSvXjF1HjAoXikA3TI7WDbR92x
dCVNnehqGK0HNXYtSnKAT3hwVyX6PMMUX/C7mcvONI59buykpi/aKD/U2EZoZG8HPTgLUEypLBZB
TyrT0B/Q52SLegRD5JndvmrFA0K9pWFkKIDS8c6Me29GwCsC4SY9p1G9pmS/isZoJzKIKH0Omiiq
GXcWvZPOqjYSCFfjZRXad/SFmIcrwltpSd5sm6ar17HUqosTFMMBmyOiI0fbx8kXV+lOhu9cVw3t
BNVHYOz70IAppWUcnJtUuenaFAkbX0s22VEDl0K6/mL7tDZVK7xolPtukzRwbVTadNaCOvWCbRCI
cd7SGTbWXdmuBMGFtUVHRBXk62Y3GGPPiSwI2u7pSNVx1F73g39tSXVbdg0mVefRiNJ5b5slrQFF
n4dB+Z7qePoouPWOwmaUlC7CoKnQfhX4fFKaaIWhUrLZLo1XhhS6jrtU6cia9c5+0B4NaBSFmax7
YS7J1J43vdxXFUJmisFqrKee2BV1w0LrlC0LxWVwvJrWP8pe3ZCrwtXvDYJRNd6QeTE5mlC/DRsI
MOhh45S6ktaiPii7qBpvq7xDFh7XVwEpuyGJ2mFIh7yRIcHLjvbiNuEL7eVjhq1pRu0czTv8viRi
dMnclK2z+e+m9y1CT+NM/J83vauv7csXDm9fUenUw/bL//nf6vef+r7jiT/4d+xQBnwV1DCs+N93
PPUPDQIeW6EBdYY00e/WC91lL7RIUuHMMuXtqRzA/j3oI4uP3Y4ZAhsVh7R/NOcjb+/D9jBteSjU
mfZRSTBs5K/4uD0AvMl1UwbDKUjP+mDXc03ScO5r964ftW4mBgA+rpYenDG+dgbjdchjZW4ro4pJ
ixhKcpHx8tburorcky44sPeK9Uow5zFu3HuSm+54ld7RJ64KxcoxNNlPcZ7kM6eytLnajWuhJQfk
kAgxZeviA6DBIwr0uFRAzMGie8uzRrIlLNSVqFs1SK2zTDMfCS6794bxlYRQZluRu+mK5i4K6nPp
GnDjpbpGH3ADyhfmW+9dybbeZV2bzwal2qsOncIeN1rSZ9zzuAihwhUOa5gDq9xyJWrtdJX6ykOT
0xUj8Bo1zRWV12o0ILthRJdLmbJVj6wjYVCsCgfrh45XXjXUL5kbnKpItWYe6+DNSOpe0Eq8a3k1
H4seV3moB3PScfCSpWSUuIr5lIzgsaxO2ss+EPGOaCt3UXRqtVB6CRktCxdON433Jr7XYEwR4uNM
V5sbC4k2bTnzviwYPpGeVhr0pppph2/MDClnbzEcvFO7ju4GlpAC/FlRC+JkQ5RnDCC9kEQZ34uN
hcwYvBVtcKDFvYyqYS3ifjN2rbVs0K+zhwNJF0Y7t0eJFxuRs2Gz9uJ++JqH5jEWpMqgZ3seyRSc
oc6jxyabuzpNnwPk39LECBJnGOar7dA0QBHtkE5ousE+qiz9KJ/ixtqjK0h2jpgn+b54GAxrl+QM
+BJzeClUs7gzEmTbiXGt4q7v8m7baP26D0O5CUypz5RAbhCDwVEr9P1ABu3MVVA9D8rQz8bEuVda
7ABWoaw6V8NE1DrEjeF/kd12dMmhEVluzQwvhd6gwGwr8nUQ+GSr2uM51eRKb9jNFCQyZdncjzTD
Y1N7z3Q+MxnS7HOYPsvoDjX2k5eU596PgnlfO5soHR+rkiA9kfkbZlj2PGaIk/b1LmmAJRJo9Nji
N6Cx/VIPwZJUpb0bkvsS5E9WwHlG6kynIkG/OS7j28Yo73xqy1nekCcnbEIhSLTPRzWf1fZT4dL7
LRvrWOb29egba6GTnI7fYy0GfCpN82w63jXm3JWtpidO4Kc+F4QrWKN2IHUb3oSVHsaovdJ0bxWl
XyJ8mw1NtWXVyXUWdORfx4a6yMzhHGBjdATsNRcUH9euAH9X/Vxa2ksiCfI2RVTPRWWAg/K0GQ6B
W2vEetVnsT3TS/sWPMgePffT6PjH2O0vuqas4bER0F64X2QiNonr8BjZBVCqhAdQThaAfilD7Suc
6ZwXSr3lMX60a+h3qsyu6gAduat/ccehXIZKd84kU5ekUo259DSIiZL4s9jymUBj9cUt3MfnIXKv
I6APUzcYsloLrCkZVEAdlvvay/oliouzVImLkrYpF1UnJNF/hbssQ3OfO5VxHnVnjcXWTy+SkJGb
PFXf5KATgxuNd2OWHfTRe1Vp1DdxM2w4VCjLOtKu/JqIwyr3K1wTTFHAPXzNcntcNgARQE/kk7Om
cGd57fIJuDagODMu59IoD6Nq72tN3QWNuiVT5Lpk2IMPQd9ao3EFrHifJdxlEBWLvPYFAxjFgPQH
ldhPGoagxp+VzH/rXJNt+D9v+U/N6082/Olnvm/4Khs0jUZHTLl0nzd8i1bwpPnBi2nZ7Or/LnHd
P5CyUhRSePK/oPr6a8MH1DuRe9D2EKQIjMn5J8oePJp/3/F1W4UugNsX1+9nv29clzjBsl6c6jB7
lG5qrq1IV/YauZkzNHX5BTFEtmlSw72aaBerLJtgK7zNJV588sR7ZjtsRYdy8mcYTsTRtrPWbYch
xOnzY8mQPG/ZvWvnTaVgWGhJt9HhvSKc6LaudFboNsSCw+yaNztGczYkc7sz7rq03BiBn94CY2Vi
lOdvFuFNWZPflSpGGINMJGa6xVuM+5EhtpFS8nWbPu/7ORIRXkNafnhZDOOs6NZeWp27rL+9tZ1C
HMr0Jse80gOvNlvkm0ycbqUNKaHj0/vv0PCaFZlyXcdOjJaEVSKZ1gvC10hyHWx7IfEvz5nRkFkm
h7PfG+WyZMmpWHp8s7hyprUo96PHQNNv68zNFwrLVR6ZrFujd1cypg2KattYtOiTUd2gUv0ipjUP
OyOJlf0lFeGUKviUsDiGo3sL6tbmJWbdLDVxm9uhNhv5EmrgJfN4WmW12nwZpnW3YgF2ppUYlp06
K0xr0Rni7EyrtS+DSwCQaKYkndPthoEIWrykAATynbDSK2cM9u2QeVs9rK6bib3SmwKFSZmgmLEw
l1gx0VN5vLBHwMSUo7AqU1cj2NSt4yraOFmJKCGtnJOr5cMaGRDrvQVFOC1ckPblV61o2SZG27so
DcXjGJhvLhHqV8WgvcfsJdastDKx8MPphOWX5JikkxoqIkQPRkK0SuM033lRdvJB4MxF7Jw6Javn
lgVCxhsy0oQNHWDTJG3RrvIsp+bSR/T6AfMnuHkINE1CwHp8Ca3aPFu5f8+Ev5mXeNwQUKULAFZ8
bh4fbpxOfthqvLfxo7KpvCaeXDco43ZGqlxUJ3836BmSnrxuKIbnaWSVc1GXLL+AOXMr2fX4Dg1P
Pw1qdDL0pp+7UwkvsvBBdPLOhMG8qbEQzn3Fvitrj7xTVTvIXAPN7DRsvwXso0aI62SodwJpQhGF
10HgLa0mfiI6+NV0y4xalGPhUOESBlO0KK2OfqlIjyYEZ45Xyo5oeMjsgnli40JaTb0JyKm+OaQV
L6p6eABKRY6GSrAMzrtZVo/EjRLtGckR7GIqrrq4e/X5rBkB5nKeWgxyMw10VJofXbgVloMazdcr
qFDyDQAT/KOC4OYYiirn1AzhGae7AYPl4BJEmw7ml7ozIelqPdqG8FDIUkNZkkRz4qNJXqyenbDY
J0l6p0bjvUpuLX8fll+DWXznHsseWC1/8MIb245QxYiALtC2zSiu2e2fh9rNT57hg8/slX6nRIOy
zZKuXKScY9uouDEa5aufR9eOlZrzPDGwiBu6rLbS5reAJzY3HGCXxFVzjNeVeJskMIKEls4gqFnE
NVbjTMmwdKEPJPAAbQbuSvsUZriuSM2OF9iTOWN7/SXUcJNJU7w5I+2B/5bW34rkaSzyn/fZM6Da
l+rvpfX0U993Wkpr4ASIU9H2w2L7WFqDcaVIFriENAro7zstVAOD/6RS6mJVUu3JAfFXaQ2BQKMY
/nOjtf9Zbf0tIeKv+dnU5LUZOVDFuyD8eGY+jR1B2aYpXk/1ZMZdHW2gtICldoroGMp4boy0yvzx
QQIH0Yo6Xnee+wDOuZolvkQx4q0JR6ZipoTFkecv9ay8WG0GVUTsG2hjVtJv9b5ajM3GDJWnzPN2
0lvhqz6poesds6By5sRQugtbZfIcVegOLRK/qSIRDDSUPFi/n2xD0nDTFYCsXf00Zsmm4/i/0M32
TP1B9hGYFP672I9tj5gS4RdReCAZbLq+SjOAKRBfg7x670btiwOsFKJPRJq41t8kTt/NUW09dYPy
UI6QS3rWGsIzHQzN7lVqDcNeMaJrSwUB3NMcnfWEhWPs4H+U1bspG5bsEbpPqy7wcWqLUAuCmZSG
tkh8KOJjpr+J6JFqxK/gDFeCkE8og9Zk05J2XS7oKQzG3IywuaIjhai6yHUS1MtKr90XNTCIUgz6
ElVH2vpAftJog+2ioDRWmkmBmi/FRDjgpDfJFBxYxcMQIdtsS+g4QUkf3OvqC/pUmEVjXF7aTA/X
8HoK7HwxHxWArllVGiSdFeHUa41I6C6sx2wstRl7dbc0SsOZZVkFzKzxzVnvQumTruQ0ZnfDBem3
gd86pK9HLKifWdnORe/BzmgER1YaMj3dptr5eDrXfelRQxoxTq5C4xSi+Lpcq1HzrrmZAzK7aOgm
Sm9DnOhrC2CXbrgLBZutYqYWRI0HyJo3hrC+unSXZw2nKuJmeVRppWxj0VTzzAzjs6N70RKWugXJ
n1rVBZK4NmIdb2xbmWvHL74mvequzSnZoCiV+GyPmbfjkyM3RXbpizPFZ2pDIDZSYJqphCJmKUcB
Ohl1VC5UmyCspFTS13zA1ZfBy5tVUxpq7SjlvrOzjoDOply7PpJvXOn6Oq+teMmXZ9DVNN8DpqX0
pn0c2oa+rsAZ+TMBZBhpUO7PSscxXkVCSwQaCN7+JLDx1qOBYZjRLqXXqQp/ZWrBI2riV945b1ey
qG+6MUrrpY95mzQ73elXbmuW4XsMJ4sYUlW7ZCokLQxJ1b5mC0VAS8eoFP1tzGwBDTNDj1R3I/Te
xT1ERW8uRgnDg91jWfmAsdrqSfGKhzibQm8dt1v6CYVum5CsFgqbDOAhvFfT7BySgP48cI4C9Ob5
SBkdtrIcwc/YXIIUPagJZn0OCaXYuo311Y/b50bIVec5MCBd5b0La6h9afAEK26HTvyxZxK11iuF
LPKknBYR98hHQSa5+57xnioNz0WdOLfCMc+F6u9yArFnaZld4b150yz3oY2VfqGW/bkeS2frlOWG
HK2banTvGIjIpagTf1405bINhwCMcjCsdY0uVJgi5HSwHHdeNS8d/9qDZTWzPZhaTawXe1OMLzR1
8Nal2ibI/F1ky5OjMyfpdY4quuvwpgTlLOVho/kYY5tH4/saOrSarKgON57eosMzGB71hWvsOCjC
8SPBd2aYyatbQb1ORJNyvCnOWafc0CDr1mEUBTsPESctChi30dA5/En0gQYFFEHesybJrPMuCfoS
2kYIW5vp5RmFlJTsXLTOTX8ZysBdC87g17FX5gtHY+zACtOsq9CCDGL27jo31GE5hr4zoRRiVhh7
WPfNEC5lFegIBBNj6Y6hhdjTfCd9eFxExrhF8XqiBbRP9PCAUytZ6p3QmFDo8VIXOZk7MF5Wvm0K
xi8S6ILIso1m9ebEfp4Ffjwixwu0taZPs5WQv9ZPeGu1DgROnALQsfx4QgeySgnonuuONMmLWbbm
RM3yZv+XvfNYkhtJt/SrjN09aHBoN5uZReiIjMhIrTawTDILGnBo8fTzgSw2xWWxp8x6cRe1aWsW
GRkZAo5fnO+cNhbOVosZ68UZzlxlgBNonqUW45n+T5P0f0YKJnqDvy515tX5guiM5le7cx75XbnD
lJ6ihc0xFdQsmPhuk0BDz84a/odBvmQJ/HWwAC/EogDPrc+zA0qaf1U7zgdAIvQhDAEwAIPS+1tz
hc8Rdj9UO0RkEzXn2Qa8LEXUT5uEuh1tu0s87dK1MyJ0in0X+aywUgdp38w/JO6402YigoHUtU7R
tOxmWqIHm+hnfoKh9H6aiQo1sxX6TFkYM29RzuRFBILRg2IUIBlKL09ja+6nmdVQM7VBPvzCV+Z9
AM6RzVxH0KQ3w+fQZpAPB/QDHVNN3o9+LWcqpPfQBFdxRaaE+8dgOcMm7tVtZsT3riDdZUommHKN
qVwmyyerJXMkEmqVJVq/iRlMrBgUbHAzbsH/qm2faOwJfTaHdZsd8Cbqo5Xts2Cd0CprK3+wXlTa
aeM1d3Kv2+A00mO/U9RNcdeWsa5YGwgLWa0yKAd6uVECn52uHrM11n0u2k9z3dksAxPI0zYm9E3m
KS0J9sStHn9qXPedGyoBQZHHhr25TLt7oyabhDWOXFIkoKEdi1t3EMTDZsZLjPqcIxQpLrpe7ICL
7sLx6/pQ6vkbHXFM95SG5JKTBs523Mks47pMAoYenDCrfkzu9JAFgUvthxeqvmIp8JRbxQM31OKs
pqE46nk0LjVXrnOXjVCg9nlaoGuotxmESyrdw2D7T9TtTK0Tc8T1IN4wa9L3omXgHPK6EXMP0DsO
wlE9ncwlv88je9Lo0EWokBVvHzYhvjYTTdkZYc8dExt2OSzRydJwL6zPkvpmVtcnn4X2JHQjuhe9
d5qAgfSaCY7uEBgezxr9Sum3sxeMP6v3J6yUSuT8GsBBWTvXduzuIdq2SYeF4Kz/7wABGi87DxLs
bTCwBAIVsEjfqHs4qdhuwcTiRxumwC3CbQ9jkM2wgYQ6GKAPFBRCBY1QQSVEjdiJGVOIZ2DBmdGF
CYZh6HpgBgHWMMA3ODPowEfOYKCN32NunV3F76aNgb02Z0DCgZQYJu7kkBO4WbKWAqVo2vQ0wVZk
M2QxzriFqVm3Udu/5Vq9zuq7qiVsnFn7dQCnobhN5Wo6QMk96DLu8TuBKYPsiMaYUoWSnySal2yG
PzSXu+GMg5hwIeEMiIgZFSlhRqQvirVOHMTkTGzwujM2y48GlElRa6sC6sTw7DciR6DqZh4lCM89
fEpZ9ccQXiWdwRXdGDfljLJEUCs+bEuc5ZgzUtzAxb91M/5i9v5RzkCMCRmTpvwzSJm+AZnpq2zv
wdB0s/3LDNUMA3iNO4M2yWfmBlXwuHQ+kzihPlM5mhM8x3A6uR2TmTeTOwxowJKeSUtiSdStQd22
sem9NBA/WWtphKk0K9ZuywYmqArUE1NBKtoMgrC3CDiAH/JEiU3KjBRVlfkUwRixdcdUCeio8Kxr
EwoJrvPamLGkcepO9gwqDRBLfk4RBfu/C2GZIi95jI3kiOPXvYsD0yLF2LSBfjJUegqpBBK9fUwy
67aaMakMXsrK5uVrRQKZcR5moCoYRbsgXmaXGoQwwFzxJTkUM4QVQmPVvr4hMQuT6rZ7yowS2zqk
3h0EVwHJhQ7jgrCwWVGj7cmD2ekwX01V7jMYsB5fJjklx0E2OBNP102XNKg1ypMJPTYovrJeBlJc
p/c+fFmCvZxV2vsG7qy21IE+Zi/M8KGDS7Ph07AsSSld/U1nI0yHYEsg2cSMtE2wbb5RHUdYt3yG
3mrot7BILgjJeRmg4mQaIOsZWQsXpb6MIeesLtrkkHTgnBcRZN0/Y5jPYxjrt+uO2yJ9/ZW55Pyo
f9Ul4sNMCzODwfTD/rEuMT7QOHom+QVIDz77Tn6tS7wP8z+1AZ/RXqKS/2HhwcDG1WfsmIqGtIK/
U5gI70fN3WeJw5ztg4zCsBHk6/zq3yvgLC+LK6s1xrPXBNWVG4/ZDbdz9wnXeeMw9gnxQ6JxN17T
6ad+VD45w124EnbHLFj2zW2oF+l2mkAwHVn4a1drqnUeleGaHeZlmoby1JnCP9oMaK/NoeHxHdLH
VTs1MGCFGnaaJw+DQU1RNyFO4cpMPkZcHts4732IqgnHflUPL1kYBgf0ZJCwRDutjFznJut5Cs50
fJAG0GJqvo5+5h5aR3ibhoSFizzBba8qcK5DsuEvBwzrEBgSVh4lWBI6JC4gYmP9YsxdJ568Cx0D
SANHw/hdse20rps8W5XTFPzhxuo5HAIfdqjjCFaHuJgk2E2e7I1J4hVMWXoViOBJT0Z2kGa1sVTO
rqjU15HeaNvGCabDFLTmgfW9u07N9EJgqbtHTCdXhPNY2yTNrXWHhGPnCPbvkR0khzJTlG5Fdz1V
cb5QKaPVVrOZu9o2RJNHCRjIy9hkXNWNvDsamSc3UY91dBYJca6ZzKxGt1d4BtaH1ohfSuUyak7x
uETyF69FwKETlMSwsaMN11ovqlWqJfrGd8QutjT0IOwcBhvXyCbBJ21q1Sva7fg0NNa7lrCZwMGm
WGQ2bnc9ZRfywVvHdK8zl9MnGYat0aUPRtw3EnoT37DKSM9dKa4KA8QsqNn3m9Feafp2YFuzABta
+4rncRxCftLOCk5YJOPxlmcXtSnebbtoNwzqbruQ0MWa4ci8/LcWWaaf3UDu8qzYdqZ9jAd5Uljh
hQIt35QGTKR8h81WvJmC6JxNEa6nmB1KmHUM3saTTQSjSrR7wjFh7gaLiq/lb1r/JTOqN7MX5UqG
3kcm+FtWMvf49CPA9xVotqrBsXOO2csysQukaSzyPlreVC2FCWi+8YvhKHusONcuw5WjcMqqXbRj
WhyUhPZ3GRAcA9iy/T+H8ZeZOI3bv2sUq/y1+vRLx99Z+/v1UBbWB2HOLd/syPW5uftXsyjcDx5j
ccfSZ+nXD0Jrm7+hI8SVHrfmH7fQ5gcSWudj1MbHGQnz3+oWwRR+2kKzGafpdFybVpF7wM9Sa0lA
qMILOLzUEs/Adz1r1h6JH3unw1Wnq0zu7E3ZYL3ljJrrLhFV2Ew/+7KO7/F1QDc1Ycp5mVeGtSJp
MSCd0XH17hqutxhfW4RYc/rkUE6tQbZmFxuUM6bnmcOKKDYkTIkrymnPdLcK6m2jtDS89ZqGg9jG
7XyRa9xFFlMwxXdZQUNlIdowlikpqbehwN5qYcRxuFGEqE4Fe9DdGEZcz3brPuSiY35M5dw9KFQs
w8K01TQurRwJ9lKryxziTHlXZtKpZzMr42fNVsiCJcazC9Gl/tnVReAtUi+OTlONKG2Z+VMWLL3I
8ZeyMPZ5oGdLRkEtsJebXbpO3t1khgPuiRWxBfWed7tW820idErvxWBONiFhk8VE69A6w8L1IttF
rJy6N5ogIHI5NVm0Syt3+pgZmglhbyFrXo46HQnBL9KOuSGyzsSzwOvMZmtXfCA1+mKte4b/FoL5
L6N0K8ZWN18zffcnZ03BNs1iu96cJrmTAaNS7ESrYOvqzXRdV138Ysq8vpZu7W7i1BEs2msrvMt6
dSlNpK1Xhca7eZVrQceCvp6FYYFftOUe7/6WgWBkxM9JWht3g0ReQ586p9T2uR6lO/1zgK3mzWG2
Ja30cMjcyOrfERME7xJpxham34fZDwnLjebc3FojQTfTQLYSL6qfQlOo6jxLr+kXmi8gyj8jrjn8
8/cn1yp6D3414eKB/zq0nJkOYaYMz4F6Zla9fp1wcWixl5uZLZtt2mdVzddK0vxAjTfPvr4Nv74u
9EBKsMnBYAdXKIzP/uah9RNLwa/ED6NepZRlhUiFynn7fSUZcdXX6NfNE4Qe8207KZugWbaOnRyy
iC8vktZuclkO4Yxh4KiQE0jcFv4qCHOa8DZ2X5OQ1ISmJHaqfIndVIgrdJ7YccYdKpRF3eXynLGV
PwRmm0Z7NPbGHebpmr0XtV5pCym15pz5pn9IRkdv1kaSxOI2cpHmXXBcpfVHmQdQBZWpyGtjNrbt
yJR6p/hhNZdHLTMjy2uJeoo9sZGlF3U3TTk2eys1GAtNU5hMa18fW4ScLoIStwz1C6OV/kVVlijL
cwx31uGA0XJVVs261cfowm5GAp78SdFw4sv72tY5uhmr9BH30hZMyyQP26vQQKwy5i8w8B9jh1Ye
ti1bKsd+V032Tl0tsFbPSusT9jD4caBuKYN+D/9hb5pEazHyCpxFZ+hRtOwTElXZlbCgYDjwKLQI
b52k9z8OEfYMtZkb+1DzwyP5ZNkuEZV76ZbtsJ+UKrcWZN6y6rissyRn/+KxG2JED0nf+Sc+XLVy
Gg8f2dpfeU124bXoNWy/ck/MNqd9YrHbIrCbcZ8Mt26E9KEKDDZYoxcvi7rNcaZIVsqT78RgaVuv
m3apoDMn+mA7+j3GHnWWLAK/YotgDU8WbryrpJ8IbyVHuxASaUMzLJuwAsGgkcBNmh2RTOdMKjA6
hI3KOOtBkoDD2OYNiRv5e6xb1SEro/wx7jBGJiAVT+Mu/pJn+M+pZf6++WUwv6le849R/fFXJ9f3
PbCBlB+4EEDadcRn+d7Xk8swZ0SNebZDkh+6A1QKX08u0voM6Vq6/PaoryeX+4HRPKwbTfB/hGvj
xKJmw5HTBLH+qQO2U133Yr+azlPzWHo+Cpo/72t/SUDPP+Hb8H92z7X4GbgjkSBBNUfL/sPJOCnf
UYMyackGDbf6DTkwrG+xHv4Cmvzl88w/53fPw83j+xMYe2pVVpGNpAL5uaiOvfvpu/sS8yuyFPLv
sX34id8/w09rjICVOKEyvBJjcBedde+yEQVFltpZth3GOQThds+q3bXRVUOGnYjeKQUDjNELeunb
gEFwgw2/Haw9PL0D67qNb/ssxIw5+zdvxXw3/O17wRfr+/fCjDQfa+T5vTDRGCJfVI8tGdSFsM49
ZjLkpC2i8Q9XQ3TC//Wc6Isy6S8/C3d+gp8/DByFZyhTxw3b+EnfQuqsYGbijmdOHDSiQlbpMYEn
ZnGqZgJOxnqOuZPnHaqhJj6xvxFp71CnFcGy07VpWYEkLAzV6ri0BPqhlw0b/jQjDNE89L5eM+HT
YnE/mFm8NRMZeyzJm0VOHFXlVHvFEgLXm41oRibz4zaczp1DvFRA41pqi9aZttUgrzLjCneHjY8T
EHLToL6rA+9k4stdkQrRwZobBGARkAPbwB40VsTQ3xWKtb7DcnQqK95EQbZTe3T1bN2r3Vg+1TFu
Vvjpln1+IRrrOo5PMbk8HWj5fWanC2VO5rqQd401w2o2d3c2qXYUWJgClN5K91j0Fkn63IDsZxl6
RWkTroXn/JdQnL/8hD6T5t8+oXn0hbD724Vv/XS59JGs42aop7O+NXf+fjo2j+YW76JzvRDHZsd9
fO2t5HLcmMsD95FNsRqetX2yabb61jlFm/j0+6trvni+/T7//Zhgu/n9V9ZK09bN5q9skewJfcr7
VVUvAGj0L2X2X77wX30zvz+OfjrwvCib0pDNwlnLF+nd8Kmc0yaWaIfoon7/ij7nnP78kr6/COZG
9zu+VvL6K1NGxjlks3mFjxbKT6L8+ppmaBmc4SZ+/4S/OgFRldM9e5LeXv70kWbovlyX1OxzT4xx
Pr112tXvn+BXB+D3T/DTe8f+jh4yMIwzufCzTqzXlqz6/s2r+HdP8tMpKwfpTFjoGmfZXUzloXHu
DOfl96/jV7ek71/HT8fjyL26It3FOGODymAULZdzI+NLGQ5fXst/ujo6RR+roi7+aP73/JM/Fmqs
oiBs/u+Pf6y//Dl4L1avzesPfyAEgyXVdftejTfvdZvy0C8XxPwv/3//8k9W8Y5gi//zX6+fsOJm
d95U0cfGoA/7iWOcacHfN3WHgmSP6BcpifNDv7Z1hg7BwIjfcQzvT8Xlv4ojdgdg/Yyh6LwtlAvf
iiNSEpmJGS6zoa9rhW/FkUVO2Zcfhrzyb8o050Pn2xXMIUmRBa8BlW+ZM4z5020MV/uMeKGxOo9a
57CWNlrBbSnPvXjvMNQ4RxZHYeiGl45dbRlv2Ncl8BDjIf3G9K2bpGrfC53ubRhCnAy7i9AVm85s
j2icl1qH91kujl4u0JqDV3bWAENpHnUC3RZmm10alrfxkWnXobYpRu2aIPh7d8wfbRoAzy9pJTzs
9xgJjfk+aYtVqGmzZsfc2174gF3fUrP06zFJL1scN7E0vBzcDo2AM7CKmxjXCLxQg3sbcziNV7RO
q/5NRs3JR5WGev3FDOgRm+aQ+86mMeVFZ5WXfhheygKx2wTxEKpLBusLs8B5dDAeCcPchTgGynFc
MCA/xyImIVysuxZmsZ5Wod49y6i+CsP2FPTjskOCaGHdhWfiZWUgrpJ/1JU01hl+XrgwtodJeq8+
aSrgFY8wzHutlqvOrm/CYEJ3FK8yNS0cVd2ONfHG/hCdA9vdJS5mnLFzb9fZbhrrm8xr3nJjuNS8
/DL0y2PnZDvCeQ5ZNe7akjiWQM0LjkuKGPYbcm8G1o0bunCoBN40bo6MLO1PSYujnRjZmPrJq1lY
N1I5yzDyxwW3rXOrNcfAyFZT0O0rIlCwv7uJ5bAXuv9gZSPiE3PtEEy8KLGR82fDwtDXy+W8HI28
lHytvsRTcwSEKSLn1e3Qqqhy2HrKhnYZFNtymtGsH97IKpYBpCEzgnU9yp6WvPaqeBfLPNw3RVXF
Z2uaBpxvcfgzt2QIRBtJEO+qG+o9Hmz6tijbFKpA3SRFow45KUTLusSfTqTCPOFV1q26UcSLdACB
ZGBASqQ5xTeGMLaJAYyOZGAX54AGpMYRzRMJUiFJrl6KvCXBR7nluvH0eNlC7eywgbVXtTPeRtZY
rqDWhoVvOslmaokRoYxC7RrU9x7M0TpxKNjilIREj4XEFP/R2z42Y5pxp0ETFJ65AjA+T4a9sSoI
kTrp6Y7RV6T+ezRZJ7RrjxoCg/hUtQ3BaaOFrlUxpTCdYB1lxbVRZA89AXIr1dVg9cieliy28XNU
1luAse5Cr3LSNmrk/mS/Ac7PCZFDjD8B7myd1WbLriNsJzG890DJl3w07jHQfuf3R4Va6PVyHE14
BMXCHwmdWtl5DPKTUGp3SuxUWq1MLzp3YXbwsv7BGsY/Wlc/xNI7WEUYbQYNE8wgfIgmbPCytLxk
JFBuso6ZgtFqzqlIfcyvQvzkZVKvjbAjy84iKxOj7qc+JnWsLrNPWsFODNPS2YQxyDdxMux9Ld3G
OooCOXVIuHEFxsDuHOnuGwK+t8HCUqcaMr63rsMikP29G6a7wGOaZJR4kSoEgqVpbP3CeGqwmpwD
15Zlbe9xG6gpoqOnMYBYlprF0rLMVg76cQKR37S2WtWGMy4Hny1Z7j+aAfHiI7FHk9HqSwuzQ7PV
jKXVsBKaKnUXotdZ6THZIHgBzwsm/8lEXoxwy3f5fpmbcrYclLLnEo2ScVkUXJZV72F/Z5p/ZDq4
b+cHM9pMSZ5EpIRm5R5XUYffrTuAZJ6HDGUoOzwEpua+D3Vgy+4h1/VD03u45GqSwDVtnCmb4ZiE
+m0fNBd2Ht6J0SWWL8bltoq7hWf15soZtGPUeoI4veS+CgFSIhRGqxQWqr0NwyTfVH0dhEutIHS+
A6peamRD7K0GKSaLvUWue9oWE2R04rmKFnmdFZuhNcDkR8ZyNZMiMaTXUUG/9vkW/J8uRrbvxeVr
9l7/WHz8T65FZperv65F7toCYCR//+81zPy4r4WIkLPkkfwLx8AGDizk23yZGgVpJRoGHM8oQ+as
y69TGu8DI2RUCiQQ4S3DvuqbhJIpDf8BYQMzGinJUvg7SoUvGRXfKpE/2yMWb2JO56C+/6mXEIjL
M63IsvNE6jiKi4XVocgfyCOfoNNQyRBRDjtysubQcibfO70V2wjb8LDV0NnFKy6e6xxLxJbU875W
r0lrPRMSxQy2OQ2TOAbS2k0h0H8yB6eHbvCMAc91N0eqO2SrS0q4JZgbiD+p48tJ9OlFNoexpwlc
ijcHtBcktbdfItuzK28OcZdznPvkastKJoTH2xvTF/CRyAHnAHgl46dekJlZkA2PBUG7MlqcZZI5
OL51ik8Y/8ULewgbzmri5aOOoHl79I4NyfMmCfTmOLyP1nTixH5LSajvx65AuhdsC7LrHXuG2Eiz
t0m1T+d4exna9yZBkuzlXvrQ2dQd0/gKIcKil96VJSsMaSha+uQy7uON0oS/bO0+woob0FFU2qOE
M1wUk1rpdnwMK9CZSY0XaPibPW4sSJuSSWxIqScyMZYvg5tdYYuORbZXXKryWi/MTZZE69EVZ8z7
Nq053Iz4FSBpx8SelGlT4Eydak+d5ePkqm+cFvRPIvrbmWn2Fo3tPWoB1A2k9C3EEF+OHW8dStNr
ffCHVQ2v/lBae2esmYM0HtIEs3S7y0CnhuzR0Ge2Q1Jc2xGkSH4Y5tgE2tXpqinzh5Zfw0fpsUwi
bVhYfbG1I1DPyiMgUR8vyo7PIY41bvC6l66K0QN5G82byCsu+t7/xDwHUsRx7qzCudGo2pdo448y
YwTW2m64DFWZLqIqvNFsf2/HjYU1FDbAQxnfMQj76OkYZ/jZdRYmn0hqfggkJz8hBv0y4EXtlC/I
Q8bMAy3IECxdw9iYFoYakeujJI4SvG/a1cQIzZ6SrY63Z2Igf89bIiaNun33bFutLIf7j+6qpwKS
RgqVztJCIIQUH1xiK5EiDwKjnboaKI1csZiGsViwelQnXAPuyym58VXrLS09hqmMNIF43yPjsM1b
3BeKCx1voqMASW29+ily3CMWXzd5V0RLN2KVoYlp2mY5WsIcbmgjx5xvpmm8qLy89To+eLsnKcSe
LvXW/+R3mliZnU2B6d20vb/rzRxe1ff3bqIBc/ClZ17nbYYJlW8FaYMMJqkXqodIikuqOW0aXwNz
gumocXROeUcXjVYdmk5b6Qli15HSVqRZdEYsTgaXka1HMtNi3Jfm21UwvQJLvjadcxcM3V2SCoYW
3hX9CjZBAUU/EBgVf6Q9jB4DlCZ11+HUbMKxcw5sGAj0E6hZWpv6KdfGVz7X8UDQ6xofewu5JbZU
hma9G0ONMYh2wqgX9pkE0DVSp9diinajauwlli4jHxeL87F33cVYFWSNlv1t5vYF9UdDDiHan1lx
wu/Tpfmqb/kG8t//MFJYtNFO/QUwFD7xqXZTtvp7nfGVsJwsOhSue6+q8rJO0Tiii39XCgEN4m0y
75wF5tvWOu+R2DqkCqPrrY6+QKGTkzDLtty7AHrLF0nOt6lt8mcrwzKj0DiDg8hDs96xvWHKvPOR
je8KgTmJE0HlcTRaSbQpqXmWiJ1OUxOe69TMFvS+aJQi87aPMzLqreKqrPUtirQ7HKZxthG3+P0a
y2JCC6wX7itpoQflhAeDF7fqIx3HGL29R2crlj5mMwBqXYxMgS81seLPnTM9V015E9ZWsAuI2CGK
uJ2bK/i+pr1VHnr6KuHzNbVi5ZlVv+zdeS6dVW9xlXJUUKSH8sxBtw1KUgcMq76jLn1IjOaxKinJ
06R9tOSk74TRi5WuG2Tc13G3ijzCxMYQRWkRlDRIwgSti29zQk9ZBRYrPxHPfYIsQ6Yx2wCJQ72E
gTOVgxzaeOic674+TP5TH11YoXmdx+WCQfNDrGX3kZnx0eTNFvnzpaGQHalU1MROOO+Cg34tGOri
LM+lTfA6abQ00q4zRThuRS3WBASVyP5Yq/Smk8bORf1BuBHYzShu6awuwoJAXmrbR7ehFNTL5lA2
l52D27uNVj5wgysLI7VVio8P0SYVbl9VhI/KtE3TKj5iHi82k1ad5Ohqmw6jmQ1y9XgxCRMOXQHX
2f48JQ4OrLEZnDkgnkhUA4kXdmsaO2so3plOhqc+byC4IANt9zGGWt5WTYSCvSmn8VKEerQMaz5n
Fys4avUG93yCOzm/Dn4zybMwq+KsT9q0IwfC2qPlvUyr0PNeW2sct9OAfj5U3sz4oa6XZbDJbHEy
lL3nNDo4Pl8d3HIJetSmlVZZ5gOODJwQXUn+c63twtK6tKw62OWh/m6O+rs/Bm/ccuBGw4H0Vm2V
ee7KQEVnkqayQLlWrHBUYf+KnYEdhFtDh6dvfMbnLKOfwoEcCRSW8bpHgldiHYiT/7RxOm3OZnAu
At5s9dboB2H5N4nv7jStN+jO3LOpBp+5bSaWSarf8/ZzFxfpuxriQweJvaF9vq5qAjK9Gnda08W0
adCJBKl0PGKwfwdv7J/yZqgY/93a1rhyUvsepONqLGMkclOy7y1yk6P0quM6WdSMPESj0O5bHzlc
r4h2yJeYEqBId8obUI8NBxyAlEVDI0V9mYcYlLt4OeQOkkoZZ2dX4rGW+CGNnkzGdTU0fB/6ICVb
YQJCdFDfD7R7ysG/JyqM16kGNk/7nl1yzOFM2g5F7lNVqePgpu6yyLS1iFhT9x62EPGm640brJ4u
uHJ3roE1X9mH92qqMR+M0lMvuNUm4hj5zQV5j4+2Ek+9n8zcn/tYG8OpYDLEMEiCOrJGY+cQPGQj
q3Zy1/dTdKis6jQEwUb1RrJqIw9bC3b6jubct6o7TQM8ZR69pRZmTolI+djHY4f/+Q51aoOnkXPK
BF5cTsZBqIVb3Y5wy7MtAiKMY69PF21lmpgQIh10sDeM+yy7Mn19AtXxtIWGN/wKlBOVUivVsmeJ
RCxPPi5VDaGP3nBXW0axqvT4ze2pYbyhvXJVbRKoDRIdyLo+ZiU2k6XZX6T43nEo+ehNfW0rsz6m
5vQbLi6bFALrzmm0gwNrt3XCYi+ptpBuKRPqbuqk82fQ1j/t2Nwg/XU7NiNtxzaq/9f5LarVr3bn
PPy7rgztMJZ20tA96c274+/GwyY+sQyCpU6I6dywfe3KyLuSPMbjLzwUQ5JHfR0PWx8IwuJhDI7/
1Ap9nZRffem2GLL/5Srpx33LPB3GfYf/sQx+HmDITz1ZZZh2jVQyOOOUjyaXjPN/lweLB/kPE+jZ
aNszKYtsPIPQEHyWCHy/Q8pEoUuVjsMlUTZ75DJyM5AkUG3cbDgNJqwuAZdjvWWcQFIDXqScFY1n
3xrkVXFXb6RzcitX1vs88MtTW2leieGX6ZQnx9EI/LVg84KVrgREW93r1Gm9rnYJgfRrrPApfdBJ
biviPdY9Ablbxh0MHouenaujgLQ75yp28zliNSNvvgiqbaQFKZb+VRFr2zzDjvw2r6bwjwzZ48b8
YqbvAXiv5ReTfZnyp7VQFmxdaGW6edt8duXn/C6vG4jWKiL8fNKEvdCG8MlU4iIcQsqhlL4tIRXH
7MotBN+xR/i+cBvtsg27Bzsx70pZ31ZEpAR59+BwYFA1l8UiiaxjWVnrwCqPRNHsBQmEJBe1EYpQ
54JbyIKRv0cdXOAER4miM8KbivEABfSs4piYntSdnVvKcxU58Y6x67Ed9LfQScaLUJkuSeWcVF4q
AK2xARmlXI9wbIuGNSAVHuVLMwz2Fu+H6aIc1UXHOTRkya7RMD3KUrtaReaEaZFal310yhDzrH2T
aCtm7XAG1d6vopvQLhnr5TZlp5Ywb6bPCmqxz+sB36Ewuy2q5iI0IXK1UXc+jh3n/FgF/RJ7qc2g
+KoOIsLnFVkpM3FCjP39oMpTbxGmJogUXyTonGzP4/4dxPZ8c6SVHCwyjHJMxHJfYrPgW0iQxuZU
cqteglbuiVsZt0Wqv1tO+0kQP7OFrctojkkrXISJHV2r3MsAoKzIxqkGNscV2kEiUdvWnv4x0cL9
5GiXjXDvG/RRaeg7GBJXDMu9eWJxxKfvussxRYuxe6j89RzukDl9siM0aev1jbEqTd547me7Wu8e
xWyOpHAKcqV8QQ58KnQCbaJqOCB4uZr4oZ0A3cJKbrLEtlXaq1GLd00b9oU1HU1f20n3YfBfCm86
kNzibeyYGG3XphcUkIjDW0cT3jZeA1OYHG1jvAr8WCxNI4EHT+Qz5nbPJoTtqurFUVp5wH3rXIa7
MbPohycQdHsqN26o3XlDfW8l3XoI2A/bISVmB+2J3wS6045kL7bhtAkY33TiQWnhnedl95oinT3H
YYfVheEOh1Jqh2HQsbqInQNivG3qpEw63XpFDwF42FrNjdXHB17fhR3rLzQiFGwmOhxS6cKNYar4
MrOGZDdomfFc9J77VHtFRG00jv591vjJzeC7NVusVGBO4VdYKjbhqtTmRKQU6pskT1yKDE1f9VwW
x07Z0WVrTeC0adX59bJVznyFYRRQLEo5T+hL33ubHJJIQip7jWHxuqsdtkvgAlibYMpryZovsznD
HW16QbMZLAPDvml0bJ/Nsi9XQae8hRDxBVk5t5lKaH/7QjFvr/EolNaT4xCP5nSrsqWUdYc6P3gs
mk6+AlIdJirAxCneLAJasX4cQy45kFjLvtMDhetTPCbbYAyOcSamxZj41+STvLWDXMY4kXgxxqe+
pt/iavhsmuqlbhPU3vGui5s/3Ko/pzaiksDHPgqTxmcjbpkKuS9s8BYMCIyFJVAH+n2MHKjO4f2h
OWvfXo0jsyb66bg0PmVOM7ACAtTPu+cOzw7bakiPi9oXivqNqviYEzzKfPdR5PWD3bITFEW2kEN8
O6TjMZf9rimBdLU+fgzCcR/1XKLD/2PvvHYbSbZ0/SqNuU8hvbmYAYZehvJqSXWTYEmq9N7n088X
Mt1SidWz61DA8ACb+2KjS1KQjIyItWKt3/Tr1k2WXsItT47Ny7oez4zKvO994zQL9amtt7ed4G90
eLFYWDu2Os2mHl0wnsY8NaNvYyH8oUNzCXKF4mNM57C2g0Ov6sF+ahgth4Z5pYw8tSqGVOyl1jXC
oUe1ZtZTbObviQQ00EB3SEjKUp+vV1no3RpDAW9ULldGos1FLk7TBX82vn3iWycYA67KyDuirnDv
5O3MHbNpbkdnmoGIZgJcsnIRDVejjWRLM+p1qwbHuknRuBu5jo6Y61kw9uhHqs6R3gwXVS7zMfXq
KJQlxJfNby68wpZ7ol63Vy4+g7DYx0WF5sokCfxzWe9/uHJn0DtIv8l6COxoDNaOES8Lt7hOUjS7
ozRbtV5brGwnGU4URUOPRsUrLvhmutSGSuolqprVizSRlUmm6905hHx/YmP6N4/s8i6VfW8hyfaZ
jPYHCKiiOK4UywPs2ScLRG8eKApCxJI96a7LTdYLfIH5gLzDRNOD+LHncjhTtcRH221Q151f/aaj
trAw0fHSNslCENH45KmuRIaCDpcrnYYhpmN/Rs533Vi+SwFfM6v30LqfMB+f3kJkWu+QMgOr2Iwa
3kKmYGDSUM3PMNf+5/f4CfTx+h6mDC4G+1JDCC+8fw9VbYakcwLvTO6I8haAR0yarikI//PbfKQU
ioQNrUaSVu4hpipINB/fxsvCQbOi1jtroBoXtAErjMqk4qbRzzvU9syKPpTxYlzy76uEQTr866vE
dRkgjTFsaezwZ29XCBWeKW0bBQ0MAKgflcC0g+dFLdD/onXzen/QlQOydseyFJ4hDAH73f3BwXwX
+qlNextsCNjd3+nqQND5kN1zgwAb6XBPUTHuFVn+T+se88feLIoqOU9JgfV1pTbkm0MTyAmCDUOn
OsRcKKM4m+YPRZt8G7PRX/ZSekV5y59o1vehBXafN96qRNevyANKsjZMvka3TuVaKWg90u6HaIoS
Uua0M8MbiPdE4wkc/VNJciPR2K4Ja9lZNdSPkmAfGk73qOdSNveprzV4fcFQD457HQwkTilrKS/O
SzkzZpmvjfRRibEIHFFoG0p60EKUsimFE+ViTCLEolX7u9TTF+lq8vPeW1lWfZqOEWlmJMTMiu6+
s6WbuB7iaRgpV5pR33mwQJbUyNDs1DTzzMPzfK4rTk1dOSqpYHsbCwWpZWWgcmvDrEXD5izTaTL4
o3rFNaqY+E1w0avyUSIbT3qdLKlubiqdeqI6RNMS57oe/4HSqfltZ5XI5V0DGTPrUfFPI+8uq8w7
J4T9iGuZrj1UjvNQqtVZOQa3RtY/RNCGOXEpUFCWPJf4sBRdu1XiB5RPagrEo4So+RAFV0j3nJJc
no5a4QovMhxmVNSBDKwyD0OlKiaGQiOkk/VzyaCfVghlMEPy4bT1ynHom94SyTFzUXiQ+6ljz+2q
vzEr6UjtwJ6iAHxkZ2TpspOc5YMOVjMqAHDmqboc6g6OQUhZJGj8aY6e8DKy/BL/yqSdm63bz41G
lekD8FNrUNEs6P50bQvqU3Nuyg0mJ7guQ3MqlqWeTrlx2mgXw/aFlzvp645iYDdyUMvlYSIZJapu
EnZ9huZOO0RD4BWe+jwKfpNSslRegiw47zz50Ast7HrVkPQBMGytrxyFyByN5k1N/U5OvD+rrH6C
SS5No1FFFLyhqdkWjr+wm/GOOnA+89T8yLXyW6lB0iyuuhvJAUzCn8K340o419roapBUlEJUNOUV
BRnQCsuEIMvX+uCcRToIjXrooTlnHTe3tpv3Nv1Iq4NIJ4WljcRFgMKIUI2vab9FWtlvajcPZ3KV
uzOthAqjReFtE82sOLjRanFhdAJrzl6b6XqLmnJt1cu0AlKC5ly+6hXVxasKT9K8W6MWisVHiJ7T
KEkX3Nj9+ZAWZKdqchqk1PuQ5KbPiV7CtPfGQ7fPNlFfIJOryVe6doQJZySTOkpeeZlZ1ZxWEDbF
vjW3UVkBvfaDogddVUv/UY7yvVM5J0S603wYrlQa3xP6Qf7cpE47GRK6Ak21iXWg4cFwCNeP3MgR
/SSuvKy9ELVTHQ2u4Ydald88qTnusvoizqU1Vd1ogazYDNHXtea0/VSREWpDhEZFuAql0cbx22lZ
1z9yKUmAEXXqLO6tTVCU34Ajy1RSpWiiZigFw8c0j2okrmADSDadKv2OU7eYmAPA3zY2H2qEGnH5
UAN6C/Yxhov90qsakumxPaKEjORm6V2afr8J4YtPcBVHi6Ko4nnu1cq00ouVmVBn9INRpFJXNQ1m
wVmfxz321UCe0PdIjZJNl7ElbHMdl0E4z3r3NIuxFdUbt8fMwLtCV/Asy50rx9VXWj+gnJgKNs4Q
0xPMTz1IAQvqlPEdoI8A4Zn2RJItFYql2NhGeAuZlnpy29GUdzowc6r/vU8zdBL1gKJtesSBfjno
WbsqgBqCmmkuch2BvcAwgLrZ9pJ6P4j4StMRw8iusTQ44mqsT6MiBhbYXgSGDp8dzLkbIL1qZaUy
T72Yv23bK8MM7dWYNt8rLKknTl6iJpmqPvL6BZf2Ufrh6Arxwi+Dpe1IF+mQfTc19nYRW/Q6E3oU
WMBQqHfHlLwMfbMyK+7guLrT2iZhTgY6ZhoIeTxkZaH+ri6NPJUXIZz/RSzuS05wC02cHp2bLgYE
FiYo7dCyrhJM2DUuCXWPRQzYCeaUps0hsjUQQnXw80Cz2DSg5Ru9vfGH6KIjJk7rEIBTYNBsgPJE
a5PyBhcqi4p0yL/ZMdKuuTSCDNPDNRD8jDuWRRNZ7qiERAAC4QGA8no0MuMcqaanHo4rZKuQmyL0
/K6koGQ26Qm5Y4FO1Yhwrgwn1kpX1P4O6zgvp/qgNqTscnaHdUp8WI1YWKhsfLTSbiXwaWB0H7si
XmCDekOwl4/psHPzsJ3DirQTUtg1+igrXBm7CRIrPdBBGpuD3q1cQ4MfBogxa3XAS3jCzFTLegj6
jIYK1bdpkeXjYsjsS8VNirmBDy/47j6d5zmM4zZu3EO5HDamxGKo/VZdRJF93acW1A5XOgo8b1Ni
V+VRZQFukIMBzPh7Kz/PIjJSMBrenALbA57m+gKQ3L0u0zsNC/Ncbsw/M91curmwfPC0H6HcWZyx
KMioaonKRZ/is21RbKjNSjglDCy/EL6eEgz4B4zKvYkesUP3cz5S4puUEqe2PyAjyqW3m5pSuJFT
dQ1iy5/WgRtOizY/DlpU7YGGLYcRGF+j4erbyNEq9CDABTa3KbmGWFeo6FxntDvmpmM/+h7ABcxT
y0ULuZzuSNvOgC5Ms2gUp6p5m0BImeAAa0yTQrqGRndTOlzx0sCZZl180lQUGL3GrsEcZKg26v5V
jckAtYj6sAHsNk1k50ZPm3MvRjpLq+punuQSIEOT/aS19aL3pJi+V3ookTkJDrhMpxxreC857wHN
ecwWIQQLIFPuMPsInjpISlJu/jBl6VrC6XZmJbRgqGj+sCo4QWqsPrRDeewQybHYNR4q1DzhfKPB
5SlHborTKpg+fdqb0a2XIMld9Ogn2405pU1K7eE7Lq8nJAYoKupSNlGa8CgXgN+8CcNTNUBBhyro
xLajew+aOdjS8Fop8XHKG+nSShCnVlHZ0Z3uthc4f9MfKVbkWTovas2bDga86iQq+Do6JQC7o6Ca
ZTrGDdm5bVMujKwinrLvfqC5gsNFZ/VzL9IWctvc5S1b1y+Vi9hLS6z2tLVmBjSJDKAVTZRfmQHP
yMCoj/Sy55wu0zV66mDqTP1IseuHMBmqKYpNt0XvcwY18s0YB0f9EF+rOtfkjjpPZsnf2xYtL7sD
aeHUAIJBiJ3kVblI5d7GuAYMqEMdgFUbPjnkxn5r0nrr06cxKUEdI3DpleOhqqZ3NN9mtRXe5C1+
IxVZnhVx9NEGBaHsoJOZxQEfsrGWcl/+MH1SOivroe+T87UUBIM4vGus9NBFDhJk4Ma1o+9h3Zzp
egEtuFZmXtLjnIwNCAqX0Iesy95X5r2BOodbZFd95axyHSdHQ6IAECKoqU2HQAHioFFwQZ8XoOpJ
2WeHTZBPY+TZQRGGCr0uz1KjizgdzbsBRLF9Wkjo713gDUkBZbBNgE259O876ItjkzDi+/Ud9Kre
pEEVw13+fA0Vf/nXNVQ+EBxPjHL/MnF418nS+RFofuNZjgO2xVsnyz6QUdVQIamDa4KiyY/eOlm4
GwqxDVGawewDR6jfuYlyq/35JkqnDJNdm5st7TFd5qO/r45QPNOiso+zs2bAWH6NKoYRniogntR5
XSdI9gZFW0/pUJwa3P8a337QPR+vdTW5bhUMfNBWPCnU8h53t6O4Si+DJJjVEkm8FrprQFjrvM+Q
fbe6JTKsHtyu6MSXu9sxTJ/gBPREPrVCFdrMLgxvXCgJ7oA+l8qGKirHMeZmcR2ua2wKe5yqZqXW
psp3GIATUngvRs2WNv0hTJIyAB1j1t4yQux3nMjPfdvkuYdLxZZ+rtnmh5Zo8RaWc2Q+d3215w6w
+9wNdhzP10/KMKjuQ9KWWdNqibpomzYki2zCYwuVYxQsHaPq5lbJtnSe8fdRarVUe55x+QDtKJvi
Yf29QQkAY/v01hJA/toXdzIB7Qfjn7tw/60OlEIoCABak63RfcL3h/ouXhHBvBgx0fHhDWQuqo3w
CCROpBpeQWsl07TtkF9LZxgSnfSdAVMKkIoNI6GM1cuhCjbc3o8hJkjI+DdrDiBAxbAZbEFrKB3l
sgUTCtJ0jh3gqS2aCFqJykW34lw96uBH0CsED5qeJvAmmqz8zol56QANV+FVRJQRfHgWruKdmYgy
ki7mVzFMDCsVaA152cHQKGtcr/ruED7/bSIaZjA5HLs6igW1Awi2CgPuR4ouoA73Q4MD0gkuSA6P
IKvWLhwRQJX3JZwRq7FnQDFRjPRP0SA/s+mLOEDlUnwxKzgnY5etWzgoOoKAdPCneQjADo4KBY3T
Cs7KqBmkNPVRaITL3JS/qUa4sOG45Fr93csgvYjmv2c51zrBMUiUpQ07RhEkgQa+TKP6MwAhp6WJ
1CUJSz1KNwb8mhgZdZG9IZ2UHFYwcOzAnjgwchy9wishvrVg6mSyjzSftHBz44RO9kKF0SOHbcwF
Rznp4Pq0fIipA/snggXkwgYCejgtfagksISkoD/uYA1lVQL8aSifSksFtdRfloJg5HqtcWHBOQrM
DvKRq6NCoGKXG8vhYRLFcJQCNUOshO7JAIS2OJNN46RTWFKNUO5uK4nUpUP6qXIeB68/lftkhovK
iRV4F31Rm7MewfaWXudMK4pvdTiw/DRzlueYjhXtsJA099tYAixxcGO2k+YakYW5Jmmgd/UahgJQ
vokSYQ2sJbo1lfyyx/hFSqEuKGtX1y/1ku4S/pZ4GPU88TZ0zsNcWlY6Eq+ULVa4pUho4mD3XvTK
ug6bJSrlU4OMTe6qZs7q4GmpKJehdH5e4L45TfXqWMXfg5SiAsiLuKAbnWgF7lEauRopfa4CyemK
5IFElIcxSlgtVkhaugOTVZsXIEAOszrUZrSusReN4EW7Y1+LChooWBW4oQ9mOQzykyQg4Y1qGpBq
dldbOlZ3akI2l4ynmIKs+yh4REM6pLuqrtycnmkf+AgHhe2lmap/0pI/kgxvZUtNvIC5RfUi6NaG
Q1RvdU4AGqbQo/MUZErhNpMuyItF2AwnWaF0E1MLzqKouGlNMj0kIK4902C9K9AIhDcZbREyVmXq
F4hJaGV447RJOnUCobphSN0JyvjxMR23aPoc8v5dfzYg/P069l8/+Ztk8znui7/6K+5TTNZV1dD/
lnj4K+5rB4DmCbrQCEFFC3DLWwVaPiBPIBYTjwnxhvCoeIv7DuAWIc4l46UjRGd+qwJtKKId8Tev
QFSgTRNqG+/FPdskC/kY99MYC4eYj3HWOn5UYXaCVLIhw/FKpaMm9uZw2MepIbXDxG2bw74buDAi
KjVXWueoNiJzmmuasvDC4dqWsmLZhAm+TUpA0dlM5mGTP3hqD1thrDE8XSLc3EgzTWr+rDisLwfA
qEuzNN0TXx/Mw7C3ZmahatPcass1WtINkEHVR+5W+V5j/CC7Tb3KuxSyYIhuM8rtET4NDSj6/sKC
o3NRoGqDHFgHjT4Gml2ixDOJHQDQHsixyeDkDs5NCbfWCK3mRlopIXaNoRD8t5vgUYElCP2rpQJf
s1lXpqjGevmIaq4WeWD3UuXMVXEC6puUf0N5dmXBmgPx3F+MQm6+pP7Pu0A0GoUYfanZiOehTx+j
Ux+iV9+jW1+XHOfI5m1qEv5jU4jbZ3VrTFo3vMyMSiRAx60kU2sxNcCFSQFmU2xvaupzu8H9snyW
0KdiDrjvykFbP/dl+9AoxvOyiwYkzJxbcP8PGXr8WCNaEBx87k3GOeJl117LzaaDINZCtSxz/VBG
259Mppoh8WPC4dOtZR5nd2EXH0FXvO+FNcCAR0AvzAKa2lkEuAcYqfOUCzsBBctLVPtre0JOlFGG
IL3ShAdBEEDajIQvgYpBgY1RQSRzD+yEd0GcYnuF6iWHsnA2GKvq1sTqgLA7zcDxzSMPpO7gBVSt
MUbIhENCIuOV0NumN6uwT8h49HGstto0aJE5Qj0No1/Mj6ee3pznFahj2epQgRhRI8zrO/QSHxMv
1ReupjzmbgSsG0YJnFaVFr6NtzSZ28LsKV2PRYVjBct12chyAPJHT2CTKbShc107lBrHWXrohU41
O2MjZPaPAVqYHlXfNeG361BsmithRTXKxPQkzU0+rbAvs+V8mqdRvAiwaDB9FwdjSg/TImCPUOGN
J23mjzOXXg0prjaBxLL0WpAjvt2faa27Uo0Uykx6Zkb2oSQFi0bFjGjmdmuHMSu9vsqLDterwTqP
EvPWohcAPj2edFo4zNywJxFWpjIFhyqt76zYxwGZsvwkC3NnXgFKnWZIwE3qMF1kUb6mSbqkXn5T
ec1hVHgndZInwLsrgu1wrsbtSm+Aj1udw2rv+7MkVsla5Pjer4JTw8xTWgKddRgW1onqUNOu82Us
Uf+0qwEYexRB16XWhuaVYk8lTwkOmzA4UZsA8kR+HysUhW3CO8wL90a3jNumrM7UJNKXfpQ5sx67
gSmVL2NWpjhj+h7lLampl1QMKbKZYz+VkG/tTPcWGi8OcDkcRXSzOXr4Oy+J+wnS7yjIR4fuWD4V
qabP1REbHTSQVyh5jmQOZgTJMIqnbe3fqq52UXcAlbWgGfCqqPRZ1JbmKirkHzT1jvUgOAmovgOD
QLM9TouZnAT3o6lduy7PvXQzuJI11CEwTpeACO8VlzKtp6UXqgQ2SxntH6bTLEkph0mR2i5slfai
9BsEn9Xr1q/Wcgub28rtI6gz4E2s5CIu0llvBdKR38U3gVGnM7nuj8zBnrcexjJooxvTsIhjStRd
NI8BlM9G2V8DFZLAnmc9iO74hze616gikrQoQp8qAFjW++FjmRtnXkY9WLa7cUZ/W8XiCz+hDl+7
VW3nC6uzhObJeDFQp51LLW2XyPGuenyuGxW8lJsfO07SLvS8PDJsA5a84lO4LBLsPToThz0T22/o
IHcYAwlJl01R9QHipz4Xgq49NZvkRjXakxF59EmqAlBr9UUJ6gqW+HGQl6uwcuvVyCKadiNYXANw
IlSqh1HJ14bHmd0LjjUdlUIpn2okEuu+2Iy9N7coLk6qAYkPTbnPALwBKaOJRb7qRvLKqjEk8fA4
alkEIKg4uXMc5DHtNSJEXfvBusZcfo3t2FNUc1AGmpnN21igzCDi1GBByC+xxqucs9IZvaWqd3/G
rFvK0dxgra70p62KTx5dSqq6LdgGGpcyHUxiZznPAr/Bk4f2JhBX88wWLU+JesCyrMq7gG6ogecM
/A/nRrHqe5w23AlY/n5S1SwNesIKJwicA1qsmmv3y9IpF3y+76DhKW3a2WMl+rJOqLQzbI64NEWh
MXO5vhPzwPvxsy73j2vR4cX0d6qJnq+TNI+u6ALLVvGoIXEQhg72CKJTXCOEpojesS66yHD7WkCT
XFdd0WNmlxVT1zZOfdBqXBToREsB7Bha0wNSPnOLc1L0rDua14PoYgdS+C2irW101lQDb7qEabgk
j+AZuO2VAkSdanBhHY2SdYhrKaE4pSsQkxpNYZ0j2C4p1RkyBDNvSOiLRRn3yu6stxDygfh0ImtB
grpl/gOakjeXdee+E1oEUkFn3UtN1PZAMOVgamSgQheUPtec5pXjrvXWX/oB6fKU5qh9CIjIKWgJ
xZmPIWEg0xCBasNln85x4b+I8vw7jzZIK/8hj27iTbmNn8tfveXRiDyCPWIboNQN9kJkxG95NNRd
AykQG6NyYXDynp9rHtBUFIANoUJm28Jh/S2PNg7g5pIBUXlj55u68jv1M7zZf8qjeWOHchifQdGB
q8sC4fQOwUTFRC4QYW5OR0iJ3Piabwhw+IAcaqyiW5DAZQxGD37NkLnroMS3xFA6fI7S9jypskPL
cSX6oECFnLaY4Sd97Dd0sSygbJkaXGEH+tjSaIVU3tKakbqEVqO6xo+Jzp9setOkys9guIDfM7+p
lX4Hs4eKkO+Q9wgivSONi1iXJFDFPpoCEPwxMSK7ycM/DTv9lg/ZTesDT8hqGCOuaWIbDqm1T29r
R7p1U7DNgLI0LVi3kX9SZ8G3KrNpHTvWeakZDzEyrvOELzYZYvQMQbsdNUp2D4NkQP1VGxkW2EUR
d0DkuptBzcu5V3cLXR/rmRpi8K53JEPQGx8LHxECOzZPqjq+7oCJTG38LIzIvsT4/LGonPPAEG5z
BW182Qvrudt1p3beojyePrh1du8WiBNl6QOQIGfaRKU3b+DzrSrIuAg3rISHnh5632IVEGoe2/ms
M+Epd3n20CnOOpLwcUgGqJQ5tYTZgHnCgs1eTtGwOakrNMl194T+6mwkItGP6xZy2R15jrMS2FRs
G/AaC5+QsbrWgHOjnHGXeCPKBhYfkofkyKVB/o29DTSoYqL2hXlB8rv2nf4HJSWYcciBZ7hnT5sS
BSd0DW51z7jUa6xu7CC61j31R6Oa7eEQiD836IUjv3uXSM2qynxqm4ZJsQukLRelkMtWfJ/ptOvV
vDmleCEjjWDFeFdC0JTRN4fktJAtiJNQD5ZF7WdAPEDeNjlPLanVbqpiF0ubGi0zANAmNjtLt6I9
RwfyCGgPNVxqJxOjGy+t2Fh2KYU22kGYF0LV9SJuQSQnysSGEjgjIpKBWMhF2SOLeKh4homae/Ou
HK9gDfCuqU3Xql24cnM12tpR0EW0RFVuVVXhejMvBi0L5vqhzvo7G1DYxDLz77KSYfeVudOy63tg
NMHKLErMOCR/JadSOJOsKJ3KcrY0B3mpyMh8wTxwVhRiB2xC7KckLE5Af+CaXoX5HDjQoekNAyx0
HHlpzNxkhXGE0wRyhTXXChr53ytBQZJLBUP4MR/PQW+px3oKAbQHOukdxqrja7Mo6m5VOypbKBSV
H/zJNLj1mVpbXjc3A0NbmBiZp9cWGIFsptc5RHXk8Sp/Sm/dOidIBiY0NMCnWtF790GTz6uYJTQR
oqCneVUBMiKfsrt+IlNH8i2yML+QBQ7f6C8gRmD2WATaHEqXBhUXl70Zl6eqOGwsGVR9EYAYnUKs
iZNZNWigfeOLLDP7AuVXTb2LOi4/a6x1G86Z2FdmvWk9yB4mM9xNhxIzxg4kGbozkW4UcA9Vy7uW
ayuu7lW39ehyafjm0qxKTPdbZATQXWXcZyTu4T2E0v9fyk6vEX2rutZfDCLx0/MMMMx19kmC61/6
pTcq0vaBXiW5/jW5LtHP+RCAnz/Ys2DYP44TbwAtNI8IgmnEUuKkYSgKEFfx+o8/MB/0Xn8s8c9E
VDJ7WyH28V7v5uhXs/DPX/Czktnncf7xw/+sWSb/nIX8/iSQaiiqplM2e5kDpvXDJKiIllFSw9+R
BOX/fhLe1yYxGeGR/fYi4Av+vQasA1HJNEGrouvJiy/54euzBoCSqSBnXxfJPkyCyCI/qNeJZ/f/
MBOM82EqaJOSUZpIiIsXhdUPUwHuWKWna4me7f/9Qvg0B1R+Acj/9mr4OAfOAQ+aE8EhwxYv8dP3
R4LYDRSwbYrf+zoJPxf4f/tIwDRasUxoBUj8vLx+ngQWgqYrHArQRHntxcGwZT3IO0+FZgtlasTT
fnU6ihDByzAseh17uSlen87f4pm/vR6YBIHLANfOd/y4G2S+vaois/1yeu7tQtj5YIBBYcGBsVRu
ws+vT4ejfqACnedwZCHu50J4WaG7LASH74jiOdvhed9/Ph3VA4DLdGSE9vJ+TsLLsb3LJNhCVk1F
CO1XIQJxNYyFOCFfVt0eZo0s3h3jpH1gQT0y1NdU4VPqjMIcRGSAV8966XscIl4W6m7rQRaHgoaT
1PPrUwKtClybDcLz5cayf+tBEAd3XA/mAaQgcZEgJX9+/RwpFLwRVdkkadjXk2H3BJqrlCqTO6p8
x49xkiVArdfSXqvG+7cEhJ3BjkvAOsCATbWE1OTza8tNyjFBhmBK+bZE9jJECNH73aaCBJoivKLr
nxcCRnXCDI5b1l7PwSeDq99PGtUDi16EAQbnp81A3wPGta1gwLjXc6C8ZLO7hAbmgO9v0I152RKc
sx/OBcU4wKaG6ybZtXjta/6svOS0u0wFAUJWOR6xunp76h+nQqRVjgmbeV+jpP4VWdMrtv01dfx5
PVBhYdOYOgfpnkZJ4RK32+GocQRyR2D7I3QlXj9PAucDisCyY70E5P2Llcru6ZJxoIF0FFDFlznY
EitFUomjx8ui28NJ2H0hmAd8PQqK+i9yRlF65WcUnvd1Ej5Zhvx+mAQEQJTUEdd4WQk/7wYKjpiM
6ZyaL3fuvQ0Ru1+knAMKKBhNUk56fn2qvao4qxgKHij7eocQHKQdT8fnLNqyKDq+hEmW/oc4KYrw
mO/pMJn3NEQoL09nh2SB/JkivC4kEn+xKSix8GPBMdvTSfikGPn7J4OBySIyBnzLl0n4OUYIEX/C
B425vQ2UL09nh5VAskAbQtXstxjx6TJhH6gYFugW54Z47e2meMlqd5kK84CyIxUE67X4umU9yCaF
JhqVe7opXj/YLpNAuLR0Aqb8Wnj8eT1wPIKk41xw9vUaYeyeONFqgNuKKd4vKo4kTvRksCB7xUjs
X/YomEE7BkqKbSZquDSlXo7HT4mTfMAPZZwD9jtxeoVV7LIpRNOabAF5r5ep+HQyaPRtkGXBdW5P
Twb9KwoMnAzgVYU3jXhtORnoYBJLnX3NHl87h7usBAsbQRNJOPO1vPhpEsiskBwiWr7smn0Nl68p
zS5TYQtdbNGBegX2fDofFJQIRGUOLYLn155uDXXnagO9a915xnG/bo1P7Qn5gBsoEIfXysb+xQt1
93hBoghK46+d8QndJIIm5wPAn31Nn4Sg445B0zxAsAOSLYJ1z68tmwJINeCmvcV4iZbKjpPASkBe
RKeu9ItJ4IrN5VKmk7WvZ8LuFytWO1JFJJGvt4ktKwG+D7qv+xsuXzL8XWKERn+GCGGbr02Jn8Ml
pWgUbMgY9vZeKUzQd9wOCMAiDguU4xXtx9r6WHHC0JgoalCS2tPt8Iop2GUliOjAShBH4/PrUwoN
sknHgVzeW/yC4I/tuBI0CGkyMtKvTQmx6D+sBLaDBuqJevy+hkjhf7njJAhWnnCkJGXavhKE7JWq
KIgb7+l20Ha/TNnwDwG+Unp8yY0/nQkipRT/o4klXvt6j9B2zxYssBxCFpvU8O2e8GFTUHGid4PD
6mvxf/+SZ333GKGL7yiqar9AhItWHbY+OlKib5PENty/qfjE2v39sjxdS00WwPdfnA/PxTdWi/J6
Fu3fJLx2jnYJlwQCau406n5VZ1AOxBSQPu5tzrBzpKBLBeofJJP2KyCwSqQA60AXZ08jxevT2WEl
CFy8Juyl30hDZAY/H48mBAqD1sS+TsJLMrPDJGgUYDVVBRP+ejz+fI+giY8dA4DAvb1MfZIE/f2D
EXtwHT1Kw/xV+56CG9Jg4KRfLm77dzAaO6fQAvkJqIUG1Wsc/JQ4gWGgskCc3NeUydi9ygRpygLn
x/f8+TDgtEDORAED+68fBv/COvmLezz18Qd6piYj//TMBX6h3P6vv/DG2/08wDum5TPf9MNvCqry
y9gvfEzx3/+1eUyCdBZUdRk81OpzFvTup29Z0fM7vf7961f8/OYf3uzte7394yp4Kjflgz88/2B4
/aCnmwRu83/H/N/jZjtP9O9P85//8fHDPj+Vl5Pwn0dH7ebp58FFJent37ZzuP+6mv3j4MnmMSvf
Bjp8/M//eFEtFpeMnT/5BGnUbR+cK9POY0838ablkVRvY7377AS/3cdH07v69EiZdYrjXzB4Wpeb
P6ZZVW97C3byzm8xe4r/OMWqcdv8kyHtPP48/mOWlSyet7HezT/n8M7jL0ok5bYNTjzbefBl/JSm
b+O8++AkJzuPvWqS71n8WL8N9ffwguuw8/CHSf5UBpv4bah3w3/Flj3EpmPL0F+xY4+fyi1zLrpg
O0/KcZB6Ww4C5Sv26skm2rKHhEjFzh/7ZFNVT9vm5Cs26ElW/fHfqfcUP22bma/YouvNIwfw2zy8
W4hfsUXXG9zZtoz9FVtUjJ1n2053wcza+bGun9LH7CHYdnoJ/MkXjF8+PD2+DfT3vAtIw+6DZ3z2
t3Hejf0V23SdbZ2Tr9ilDF0/lU/Dlk/+FTv1dJNvWeii1LDzhJ8+tZvPuaOBpPMXDH5WbjgC3gZ6
9zi/Youex5uHpy25o8CT7Dwt53GTbEvuRA9u58EvA1LHKnjcMjOis7Pz+Febh5IrQVpviaWiYfAF
b5D+MXlCqGzbG3zFVr3aiDco0035uPUgE9SkL/kWs+DJ2/YlvmLXii+xYAc8BNXDtvf4iu0r3uMo
2xTNtmglKCtfMksnTVD9cfY9qPJt3+MrNrP4HutN/bRt/K/Yz4xfb/6YbMrvm205g2ibfMVM8R5T
1EC3HNaiEP9V71A249tgf5+pAla5+xv4m613Qv1LNjU1jK1T8yWbOaginFSbt0l4NzFfspezeLMt
exAQgd1nncRkmxODYKHuPvj/ZvH0LC62Qw3nSpRZtsRh/Sv27T+aVOz6ya//0YF559H/SRd498Ep
ECXb6nKiFbnzovmTEZpte1UwGnYe/T6Lt5zzohi9+9DN9y2HrxCL+1+G3laW/aur/blY+6buuO3P
PtaixW88xE+b8r/+BwAA//8=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data id="1">
      <cx:strDim type="cat">
        <cx:f>_xlchart.v5.9</cx:f>
        <cx:nf>_xlchart.v5.8</cx:nf>
      </cx:strDim>
      <cx:numDim type="colorVal">
        <cx:f>_xlchart.v5.13</cx:f>
        <cx:nf>_xlchart.v5.12</cx:nf>
      </cx:numDim>
    </cx:data>
  </cx:chartData>
  <cx:chart>
    <cx:plotArea>
      <cx:plotAreaRegion>
        <cx:series layoutId="regionMap" uniqueId="{9C126E14-B008-4940-822C-9F524B4EC887}" formatIdx="0">
          <cx:tx>
            <cx:txData>
              <cx:f>_xlchart.v5.10</cx:f>
              <cx:v/>
            </cx:txData>
          </cx:tx>
          <cx:dataId val="0"/>
          <cx:layoutPr>
            <cx:geography cultureLanguage="en-US" cultureRegion="IN" attribution="Powered by Bing">
              <cx:geoCache provider="{E9337A44-BEBE-4D9F-B70C-5C5E7DAFC167}">
                <cx:binary>7H1pc6RI0uZfKavPizoOIIix6ddsAshU6q6S6uovWJaUxU0Awf3r15FUNUoyVYPWOm1tcpfutjYJ
POTwhHv4FR7/vO/+cZ9s1uW7Lk0y9Y/77s/3QVXl//jjD3UfbNK1OknD+1Iq+aM6uZfpH/LHj/B+
88dDuW7DzP+DIKz/cR+sy2rTvf+ff8Jo/kZeyPt1FcrsQ70p+48bVSeV+s29vbferR/SMHNCVZXh
fYX/fG+vk/CHLLNw/X77Hvnz/Tmwot7Zss6q/v27TVaFVX/X55s/32+NQt6/+2P6x3YYe5cA71X9
AMTUPKGEMaLrBn+63r9LZOY/39Yw5icm3MMEs59/9mqdAuVshh7ZWT88lBul4LUe/z8l33oH+BD/
+k8f4H78EOOX9wGEP99/ysJq8/DutlpXG/X+Xajk45cqe1uOb/np9vGz/LGN3f/8c/IL+FCT37yA
d/pV/9OtbQT/A7rLZJNlB0CXnxgEGZgTcwIrISeYW5hRA2bM02x6gnU2J/th3SafAes2wZHB+q8E
ROVhfQBg2YmFdItYJn2SWhDOLbEFfAlINTMn8L6Bo/0ATweYAfGU5MhAtmVSq0NgzE8I4oSa2ECP
F0A5xRghi5pcN7ZleD5H+zGe0M+AeEJxZAjf1lW1KQ8gxfwEU0IILK5PUmxNEcYnJjGwrnPQ3y+1
9HyO9iM8oZ+B8ITi2BAO1qo6gAzr6MRgukktyl6VYWphZFnjCr2F8GyOXkF4m34OwtsUR4bwpcxA
hjf9AaTYPDGZyRhFzxjTPVJsmDALpovxW3jaj/LOCDNw3qE5MqTd5J0jy/WDPADU1gkj3DTIs9XF
+RRqdMI4x7plmI/yjreF+k2s7Ud8d4gZkO8SHRnm/0ryMNscBHCTUwNMMH3/Cg3uMYPLAC2/DfV8
jvbjPKGfAfKE4r8A4d+zuPXKo/8MQYGnFXJP3OOtYQ92QgzdNDnmT+syCOqWbT2GPTAjDOvPptnP
v/3kJb+M1LzO035kX9JuvePTK/7+o/zXRTZukvX9QWxn68TibFS1zwjuWXUR0ylG5ElyQVW/tK/m
87UfxQn9HiC3fgURvAnFkeG8yvpDLLgmxDkIxLDYs/6dLrjYgjgWN03LAt/pJb5z+dmP7hb1FpD7
g5Nbzx8ZsjZYzuXoGx3EQ6LWCcIW55SC4TReOz4wRCopGFQMTxB+K1/7kd47ygzE99IdGfKX6zI8
RFSanXCmG8xAz2b0HsgNii2TjZPhpVDPZmg/1tvkM0DeJjgydP+Vgo90iKiWdUIh8IyIBSbxllFF
wDtihHCKntbsiXc0n6H98E7oZ+A7oTgygM835SGk1zihjOoIzOdXTedRo0Nkc5oxnMnPfnS33mYG
tlvPHxmyziZ5dyUhIf33e7w6PmGGDmI6LsrjtZNZ0iEtoVPILE1SS29iaj/Gu0PMAHqX6MjQvquT
dXkAqMfcP0WYoGd1jPY4wYSDZY0NcK5ersPzOdqP84R+BsgTiiND+FYm6+wQ7pMFYQ5wkcfg9M94
5PaKTE6Qzi0D6dP0w2yO9iM8eaMZCE8ojg3hdfZObKBK5RAog5NsAM6EvlLDQ/CJjggy8Q7Kb+Lq
FaR3x5iD9i7VkSF+tWnWByn9gLIAkzCLoueygH2BLww1ATtJ4/kc7Ud6Qj8D5QnFkSF8KR/k/UEs
MJ0jDjV35pMFtlO7BUllHcLXYGJvL8uzGdqP7zb5DHi3CY4MXTEWffz96FIoyQNNPfpPT+juBD/w
iQG+FYaikG10ZzO0H91t8hnobhMcGbqQhFk3m3J9iJLaMSRtQlEPe63mA52Y1ljZNV2O38TUfpR3
h5iB9C7RkaG9gNrjg9jX5gmj2DQMKJN+uiYRrzE9bBnwD56U6M3naD/OE/oZIE8ojgzh0zr9LpOH
6u9X2FDCxSwwnfXdGmr9BJuYIijD/Qn+Syf5LSztB3lnhBkw79AcGdC362ws1Cvr4e+HGgIikJjA
Ovppee2szeAuE8uCgMnUXX4TV/vR3vNmM/DeQ3WciEMM7AAFmpRBDExnkJJ4luEdyPHJGAEDd2qi
wZ8//Fy2fov51iDzQd8iO0rUxbr8fhjc9ROdoDHF+PrKbXKL6hjq6x+vbWP8Cf03sPc7/KfDzJ4B
U8IjmwOXmww87PAglhuU3o8OGGP4lcgohTQHMykdEyAvl/U3MbUf9d0hZiC+S3RkaK/SfFOG6+QA
6zqBqlxiGWM12OM1DZlh48QAK97AkLYer4nn/RbO9iO+M8IMwHdojgxvUKHvLupQvbv+Hqr8EHFx
44TAvgqIhYLF9gzrdvYDHHEAHEItk+LA/wPW9uP+2kAz4H+N9MhmwXW5zvxDxNkoyDykvizzlTgb
hi2UBlSimFNpn8/Rfswn9DOgnlAcGcKX6wcItB1Aq4O3ZkLOi0Ah2WvijUwoHYQS7skSPpuj/QhP
3mgGwhOKI0P4Yh0fQoI55KYpZgics8drz/5Xjg1sWmzijc/lZz+6W9QzsN16/uiQVWpzgCIyCKrp
sKfG4lB88nhNLTIoFTThtg4e2rbsXqzncvQaulv0s/Ddojg2hKV69y9YgZPNIVIh+gkyCKHWz+4i
0+gKlO8TfQzAgJiP18Twvngbc68gvmeQObDvITsy7D+GkAJT4cMhlDc94RYyKH0uEt2tLYPAGyTI
oK3MZHF+E1P7Ed8dYgbeu0RHhvZYzJ7Lg3SqYCdgZYEdZj2r8z2FhNzUmUVgMd8TTHsLZ/sR3xlh
BuA7NEeG9+36voT2M9lBSs4s6GsAO2PBs34CdKdKGErO+PgPVDrsUexv420/5nvGmIH6Hqojw/1y
U95DLyz7b28VBhobmdy0zNdSJWDUWZjDWr4X8/l87cd7Qj8D6wnFseEsDxIYH0uGDch4P4O8U/8P
JQ0EcqAcVPm2ZQ59JWYF8V5B9yX1HGxfPn9kyEIbuyxUybo+hEnOwLFC0PfNfM2rxicIjUY5A2P9
ZeLjbVztR3nPGDOw3kN1ZIhfrfP1ATQ2yDKHLnBQSvi4CKMdLxu6xIGTjcBw28Z6Lj/7Ud6inoHv
1vNHhuxNUkOH0QNgy084NRm0onlOYO9YYOgEwidQRkwnhQvzOdqP7oR+Br4TiiNDeEzUCNjauC4f
DpOqhjIzaPOHLdis9XhNpRgyGQSEGLphbAvx2xnbD/gr48wA/hXKI5wATrjxZ1k/b2zPC5lrDDvl
IXs9rSxlUHwIreOsn5t+drGfzdPrsG8PMRPxbaJjAzvclAfJZsG+ABNRqCV9cp5212p0AjehZAl2
643XJFR6O5uvV9Depp8D9TbFseEMWn0Buen7UN3Ln7K1p/EUGE5va7jNoJwYIQZFhU+RE1Da20UJ
ZKxMw4ZF96jzXxzNMSheAfrli/0aZg7eewmPEPYzuS7qQzU+AWWuEwD48Zqu5LBRk3Doxc75fhkH
BN7A3Ov4TweZif6U7Niwh5BCehg3TKfcBE/stQahj6u8qUMQ/aemeWozdzubo1ew3qafA/M2xbEh
DAJ0CUcEHMJSe8yBMKgkf96EveOPga9NoJCc69OV+y1MvYLzzhBzoN4hOjK0P0P0qj6IrQYtUMAS
o+i1nmVjjJRDsamJJjG0N7C0H+npADNwnpIcGcp3NfTfTw/S/BX6lFngWcN6/LRcT9OaUKQCBjvG
FoGF/GWo9C087cd5Z4QZQO/QHBnSt6GKw17Wv4zWp0/+NxjlY9MjCiY3+Xmcxh6j3ISQuQH1hNtI
v4Wn/UjvjDAD6R2aI0P6m0wOsURb0KgdGolCvHvqcwH+DIqQYDvnNrxzGdkP7Rb1DFi3nj8ySO+g
lSQcWXUA2YX9udBqDvyq541aewyvEXLYyDUB9w0s7cd3OsAMiKckx4byJlgfwoWCelHYm2NCMeEr
2/XG845gsx70zXhyradQz+brFaS36ecAvU1xZDh/q78fwlEeN+Vh2IYFxQWP107FN/RGgWpvC87S
mOjpmfzsR3frbWZgu/X8/w1kXz+l7tdZf866WruPpwS+OKju93cfPw6cbTghfbZs95tZTybY6uHP
95BiptBHDpbWX/HQcaAtu/in3fITvG26DZzB8+d7DbLVJ/rYAIcasHmHQC3K+3ft5vkW7OqBlv1w
vAY0jIbUJtzKoA9m8Od7HbbmQ08VsNB0iJHDzh/QAErWj7cgE8pBcUCmG7JkUHDKfh3jeCOT3pfZ
r+/y/PO7rE5vZJhVCt6LwVzLn54b+TWgcw8kzccGXGMHF2AFZml+v/44HtAIj/8v7NWqjktT3nQl
Yous0Vuh53ojBr09DVhZi6bvO1GjFl3DS6BzlKQ4E2bI4lViIfk1TD11CR1iOqEoLW6j2tRPja5W
V23s5Q955aVLljThRZCwngkf96Gdc62lIsVad6PKtLouokj/piGzWmCPGJbteThxhszLrmI/5w+W
Fnzsu8S49jHWzogftMvBMtNPldUb35KGlbctMerLSgVsFdeZLASrtXiBjV5+pjWqREAV2UijTr4a
KMlOfUNxJ8s9tW4oR26ArNBlJW+XLGrL8zpo8g9tlLlJHVYLP/Rzp2mx3lwHWqY391L5gX6OM2/o
u0Ul43qJh6rWNrrPo+Aq0JO6EIWnsvKaBXkmmI+74DaIuCastlaFGCo6sPbK4po0BfL1oNMXMmkt
lomkyVvNMYifhOemlmm9COuk/x41pEhd0vIFL7zum9kmdN1rzJBC68xs4QemcdbXZn9btXJYU9gY
GouMhOjcb+NAhD7mSy9v/O8wk0IbZcOw9lQwbMyw+1pqxQJOzzzTmFROis3Gbo0yP9Xy1sfCwnW/
jHtLO/dx1V/Esssdo+JxJ7pUaokIWz9cqLSiuSiaNBd5XHzRWZisEo4/0bgITnOt6EWA2kYYVlmd
mpEyb60gT1eVVvFPOSrMq44XyEmJ5EiQypB3nkLpRjUJ/66xVjujScVE3qXXkYU1p6yabtlomurc
NimKyum8MP/BNKlWfe5lH01sqZWBBvMvf8DMGTiLPnVeHF2wSI8ulVZE37DHpN0OrL9Q8SC/DXWn
ncPk9W3KsvY68kvvqzWk7acsKhO3ll14q4VdfhM0SWlnnLLEyXS9UUIpHbtNxIPKVZ2hHL/sW2b7
mWGekoZsuNkIPaFnrGvph94sLV8gaeJNLvNhUYRICZ4rU1StZYiXh31uSfi9zPsy9IPns1p//fg/
dzKFfx9P//z3L8ejXv/903Ijx6Csmj406uJfT/37BNFR9/06TnSiUZ/Oi31F3f725pt08RiVeF0X
PzZv21XEj6GMZ0UMYSzoxw8tYOEEWIT52AX2lyIGHW0wQqG6iI7nIUHg+qcixkAEXhaciWOBhmaw
IPzUw/gE0tWPzTZAhRNE8Vv08KjQJ2pYx2AMcNi+C2PBTt9tNVzIQq+sIApuijoyrNMibrVQGOwa
kzAoc+Frnja4cS5bsxR1PiDuqJDpntNXXVUuLJTi6rY1sc9/tJY6LbWMeus8TiPktm2WaOfw0so7
w0HUY9cfNM2/0eMsTANR6EHe2LgmXd2JwRiS0E4U98JAsIxR325606zsuqLc6kXZ12wQURmCdLNH
fZZEhiZox0rjtPBLHtlZqmB5KNqkvPYftWFNQTRcH9YKU8SW6aBHfWmEvFr+vzj1X05iA6Lvv5v1
0Ors1xHL/7Zdnqh+2h8YCm7GLUsIWlw/TuIX0x7ahox9N18YGT+nPdgfeCybReOJQdA9G0yT53lP
yQlshLFg/wOc8wdllfxN8x7vzHsOTg7sejShqS+FXCII2EvzoxqozIu67q6ylnK3ab0gF5JGLLZj
1jYfTM3oz6KuyWIXobj6Vkm9+RTrqiuE4lnx5cXX22sNTaUQNnaA3QVnYOnjgbSjj/2SGz3r85gH
dXNFigxf+TEYIaJm0gzsrqkkF02r199Yk4NslqlVFXYRlbEvvEEx3QYzK3vgVYWuYYygdkiS4E+D
oVl42ZuGt8G9hrvF7zkmoJq29QZwDAf2wd5DbrBRD004DlkABmRfXdHO8H3H7IbkUwNNkumiYr00
wHrrcOSEzLPEwMw+FH2M6DJtyh47ZSOrh6BTCtuhlhuOgjPCG1GlAWoECHTsu74EjRTX/CxVPFAO
ODr8swqK8zhpjc4NlWZehmXQpE+S/HRg9R4cIMgxeSk46whBlwvoyw51QY8v/cImZb3mt1qeqKus
8vhn6VuYCD0mMDXyrO5u2q7ktzkYiV9//zHHufbSFIZafziXhVFoZgiHecBysP0tDdT5eq787Cqz
BnyF46C+ylRph5YXfP79XwLx2flLHJoYM9gSCv6hNZlneab3Q1EG8srKkb4uWlkmSw/sWSLiPHBR
USeDTVFvSTuiRpv+p0kzTortF4WJAgcR6WDyQ8+36Z+HBtth4GdpeMWK2FinUW2s42TkwRhS5Zql
lKJHAP0SzKyWiCKWbFMlXK1a3usXnUlLZNM2krEdsSz9RMucUCew+n6Ta03uIG1ImW1wqZenBjWH
+snGeXV6jO0Gp/yzUW1ANyM4FRqW522gkFkbmWF42iWuvXQdlpXyBdbiKtMF7fvMP2uDMP7uWzy/
6IYiWJhS70Kb4Ib9qNgwSLsPfGbrMmo2YUnZQ2PkATv7PcS6sQMy1SlMojGQB4lS49HzejGLweoL
URlU9DLSi9zjllPxYFh2VUf5omrq2i67An1o0t6oRRAEzC5xtlSkzJeJnhM7Tor0Y54YaSdY0vpf
2iiVq15VlciNIv9kqthyvCLz7FpGUSjCikat8CKVXbW5pq4LbaCuD9Z/JLTBy1KbNEF6aphV8pFE
/o3fZ7QTSc2Kq8or7iqSatQxGwIfMuwJ6Aa9HgaBWiu6SALD+uahWj8LTAtfDH7XcLtFgZ7CQcp9
uNKssk9F21uDg1tDc4aou89VUd3WSGOBaNOKLTxV1CvdI+SuCHAbLz2m4VAMQex9hw3zZSPCrND+
qlOWOnmuyCqWWb7CBU8ewiY3Qe5pGt+G3OuYaArdPyu9srZ7+A5LrBN+XbRp5+ptWSww7nDjJnAA
E5gurW8VdkMCz00VLZ0659eBp/nIwVhWp7DUkNbOUGQKq2LJ1y5FwTkpeX5r0MpY1jzSyEKZ6bC2
TFm6CnXRsGhiy19oXYfWRCXtD+XnuWEPpEK1yHzS+IuuiiQIR9u6vd/U1qKUXuAkFU1PM3hUgDov
JXzotGEiUlGk2cxrmWDS6AahV4ln00rL0mVpxq6v1z360FKsO6EqUSLATy6qBa1arpYdZd2FGQ9D
4n2o26JKU9GHSZ+VD4EXEDJ8U63WMTDweAmqXN6TPo0qCsZjVdc5uqriKo27Mx4Ww7LhdeWt0jIM
cxGRRN4iptFV1FNa2zVg4Im+QByswyC1LCfzPFgPqyRuC9eMWx/ZZVJh7zookMnkadyzNnDAX+fV
hakqCjOq9SRWrV3DWrgwtSDyrhsQHdO3CysHzwjTWKWLLAlLLpICFi/P7ZrQtDUP2p0ZovdQpsN5
Xl6a2gGvW2/RJixJXeWBVbAwMj8dbGswQGNmJNZrOw1K8E4b1fvqRoVamrrSD60fWt2wEDlIkmoZ
6lZtXRma53tnGWUVM8Bu7VQx9KcKkmZl4OZ+wFLXU81QLHipsnDRJ2banyKl0tw2SA9mMuuMPlmC
LRxqNsBKvmh5OmAHdhHHqQP/Ie06iZCm4JNn2ZcoTXm6oiWvEjcOKvPjADY1XUSaJPg8aAMFEQAW
kKBaemWTZ7ewGNOzyB9IvKhz4MCVVeIProW7gdtW1OftZWr1MLU1EJXS8TCuz0rw/hPH96hfOyxr
AM6QKbBPsiGiwyaJoa7HsYCB1KF9GhQrjEL91IdQjmmTOC6oE8rQc4baiw2htWXObyKvjXSbhkU0
iDSPBu0ceYm+wLnnG8AuZ7mL+2CQqyDEre/GXA9aMT4nMA95BtPHp4XdtaE2iKoLtb9KOHmv10QI
ckSu8JCFQyisRtfoXZ+0pL4yc95LJ+NFdWnUGSxJvmIxEPCUwtcCtwRn3wacZMFZ0adJt1CtMYTn
uPKrOz0ixtrovNSD2AVM3kWddYy6yhxCYL7GUeoktIiVbbWeG+Kw+Ja0LVgWkR81t8ow2+95GdDT
hrW+51qxgYjILA/GMRIZdYusbPDV0OVU/6AqA9/hSoMnWlNTll3hnnVuQ9IoPC07QtpVxnxFrkON
8c8ZKsbJGUWFglCYCtRN14OzZ6OiBWyCNgPGpAKlew4rGP9MLQixuSloydKBDYqdXFXgj5GbqKzj
+COxMq6vOj1qIeLVVaPxGfTdjRFrZufKNoU/LeUwNKIjaTUsUczGlx9Zb0E/AV95iq90I4O3qAsD
PlUQy3iwedyA6OSJH4cfspKByJc1WAU+3AOdSqosuC6w3peZoHmAAO627OrLVAtyJUJUF92igwOl
qds3BRmVBgiTDW8ECqTjeLSTqyz97MFJxGdWE4aWsAIjhnnR++a6zSiw0ZVR/5FWHVLnPpi50bnM
sziCcBFulypD+KrgfvENDoYwCxHoQUjOpOXz+twLpN84fcmKFgzcni5zAp/VRqzo7+MkNm4gFInk
aYH6Jv7SmqmvTlNPS3/0Ax91SFgkgQN+gEXdkPSBWuRmyr9oyEsXaZv7EErUQc31ZRt8DGWlznka
RwbE6Erig9qDo4dEExD+uYy0xncTkoGYDJpH+UrPJC42KSjk/szCMKXcdtTYLrjL8EW7ZmhcWGTa
4hyXNTFtjydVAystbRCY3kX0V8kbfqf1YKafDbwq8UOlsl5B0BSzZhW2BIbqUhwMtt76pr/KAZbW
1mJuLgbZNNVl17PkNmog4mgxdaqnXWOcDq0J4MQIq2GZJ7GUl5nZ6RdahXTpBkWWNud+3+aBbRkq
De7AElEPiGegRkB1qkbEgWohctU2VgGrQF/cJn6Bw69YDtSCgDFYYP2nvKIah8GUV7oB02L/TPPy
9nvgI62xE6bMeBVyhD90SvOGZVkXKnTDoYZJGpIqojddnAzGVWrmSSKKvEHmpY4DvbN7sG6U2wY5
oNZaWeiLcmAp6A6lEhd3tCudJiFWCaHhAmZ/rHc+c3qvR8r2INRWfGmNHt9FQQlzDVY6/hnmeqpu
Mp5hULAk59HCSgOzFV39jVh1a2ERxw37ZJCsaJ3W8Cv9UvcSq/kI0V1ewuIOM9rNQwpoguPQdxch
rWJ5wco8oDekQ4m58jrJ4b26TvMv4xKiqk6qPNAZYI3V1WWSeMB/yWN/oQIrDpy2Q2jVFzrIPcRc
WCh0L2CXj1bpcwrl5snIf0oAvAzjvYzqzQkPXob3pVTyRzWND24N9N8XRBzPmHg9iDgesvYy/PKU
BHo8l+JnDBH2m0JZBTdMZkGvTQ7e+K8YIiR1oRpSh+NdofDGZBDAew6mUAOat421krDxCTq4Qcrn
38EUHernObYQxBfhWO4x8vgzkLqFJeSxnn9+mczZzeXAfvYxpwyRCzTutJkEAxjOfQQ6obpiiikR
N2Hpg6YlicMKnS9ZY62V57eLIjcCWLaHSNfAsbfqnjssJNG3kIA/BRayrIuVDl0OUzuqoxa5uWbU
7CbXy7K9ydr8KqdxeKeVLeGQWhnYIlKD+mAlQfQXTYzhA6g8f5kjj0CkkbfS60Umk9Ah+hAsqkIp
3ymMrhzdAS2NqIvB9lbfQPaiLhddMpBucGhtqlAtSNaF+CxN20He+kMfa8uw8CLiVtIvl5yCIR+y
zF9CbMZ0StlGS9BAhdsWHl42sYlB5YJ1i2Kz/Dw0QY1PY96bg0tV3ftOT/jQQZKHmsVlzsboaqaD
37RC+WBe1r0KpJMTad6GpllGImN55JqggZc4D+LqNqZJyV1Tz5PrjpgBWRaQQQKloOTXodXB58oL
P45K0QWSrYoE+q67BxHk/z4RHbcCvS6iT2dc7grpSPUz4gmFjAgi+ZAp1KFGGVqqvRBS2A5OmG6O
vV0oJhBX+Cmj1gm0AEBwgNxYWgNRoBcBT9h3jGGfAwRroL8i9Fh+U8KVPkbkXgZfIAUMSV+INMFx
7HCcwnhsxssYo8yNITZ6T12jhN7FUt0SZZynuvoQd3kk2kYPznwEXjPWT6O+j5w0jr2F15itXXW1
J1CRg1XSt7UDdvRHpA+DHeQMi1avTKEG/KFCBUTLOIyVMRm4SZTjFfdLIvIguS1ZFokhk5bAsrvU
CiRFmkU5pMQazdY6w3PAG4rcpCGaKKu2uEJZesdg5+4la4bsIiKkEtIkhfA95bskYUtdcVAyjWxt
Mwh8MZTZXZBZ1Ek0yAmiUq1A2yw8q/JdFYOxzfR0AyGZz+DOaiIhxqmk2q02xFh4hbocRst1MPzv
kCiJRGHUvQ1y7WblKsIX2KcPTbAuqV1x/1RKz3fapobw1FBH8EViyM0lXeyQQeVu3kdr0BqgUKry
oa7aM1zlreAIXqhsvJUqrRvIoeaiz1xtuKgrfNbp1l9GZK4kinTBewM5kBS6KP3yJky7TuiNBYHp
Dl+DNkmEj2oXtDpAQkHRVr6vVqzUkQAn9SPxW/0D14L7jmQfVGaBjZrQxA5xgBekkEQo1uAFNcva
zT1ZuUlcRo4Xt1iUyLqAdM+qr0NdGGXgRFb2sYtVJNBQY7egEFWzVN8Lk0O4A5aAwvWLqrn1K0Rt
D/MvviYjIcN8WaDoTMXsTufDGmt+tkz7WFSocqMm4I4kQQwRlTIQuZ6ftqghtlkVZ9C9UAF+BWjW
NLJjD2cIlH6V3VpeAX+4VJDildeDXt6HspUr0mg3MMHXXIZSlJGfnQUx/loWzWUJbrqjWTrEnVu6
6dp607C+X6gKFHyhLO8UPOfvKYiokMCKHYdmvAjb+hZS3+o8tdBZE0Xf8oGfDwUebEMGS9lqF0Xf
50IhCy0q38NCxl4rSqWuqmgA8WnuAt/7XgTMOs0oxCoiLb31BhqAH1R/KShUBhSVf2oZ8gyKchMh
ezNdWCpbmb7xqQxQcNZUGeSnouEWxmwvisZowHWR0q18E1K/o5valBBvwHwEr6O9jUzPdLCnf1Ey
Ku1mqGvICmfZmSJ1Z3caYyLow0IkKqnsoYOFwUeef5oFQXkTmQYXLS2cLuvxwqrTzxYZIuFXAXgG
ERaKyBAAyjPXS6IavJQ4BGmvyEqFMhAyMgOnJPUKDRZaFVawYthLlibwIgqT9gLUYiUssG5VVA1C
FtmpXhWnkWY6kRwqiCJVEbh6GgZJ0ysbvNhO9HrAHO4rp9KhugN8V0fTjZvI50Kq5hPuonOjrM8k
7a+4Xt42rKnFoNJloHlQbJB6g8hifNV09adQGlDJ0Ac3qV5/iP32sxV3lyodvioPnKUYsigildFn
iDSe6R067ZW6qywTiaLOkEBSUsGT7iJWhctQKRdpbylByu7SK+mHOOsTt2uxy0h+Ruo6E72qf+iG
9xdUOVxDOPcKos83RcQK22rUd88zoHAlHr4mgaJCLyzLBVf7L5UyMMF7LxAVye8kVHN0Wi5dqDno
BKQb+hiKRiLjNNTNjC7htEniBhICZUYonf+/hKPHsimwfV9fwmEb/fOZJ7vLuA6Uv5bxsTwOw2mt
kL8yoUYJVvhftjY5AWUE2Ukoqhot6he2NnQPgLQl7Dl8zti/WMfHgyWh5hIMdwZpTTgW5S22NuRO
J0kIw4JQIBRMQSn9mAwdG1O8XMe5BxU8vmXl12CkygWGKg8QyoQ4SZd9gayC5ZKoHEW5jO0kZgkI
W7UqDPyjkSgVEozasxbCwiIN4siB8PGpL30XjmYyHFqCFMisjha1n7gRi763XtkJ3BSgg7IUVErV
ZC5LDUtoec9vgiL9ZJRWKYoWhN+Ih4seHHHfr6SNwi9eRO/SNMyuQUloNqxgrahD5ruow+FZmgRf
PN2PIXDHP1hxBbU9NdlgrawXPtHau6zgp2ASnUd51y9QB4ul6j7+b/bOrLdyW23Wv0gHEilK4uUn
ac22l4ce7L4R3N02RQ0kJVED9etPqRvJ7iRfNhDg3Bwg+2oHid3u5bX4vqx6qtQF83XRBqCP191N
qk9F2B2YP1TZxJabNu6fyoH1YAX07cCACwhLD7XPy6wQwzcnAxxJQky7eHU9lMXiIGT3FHK3BwoF
fTzs06Hv5Wlq4i9BAFdkXua7SXQ5SVaBK3WXZOPSHkstg3ypR2jrfZ1ztj4WYMuOzAvw0oxyujRy
rdOWiTtu5JkndZdXTbNbrfe9qhqeyq4DjablYV5nmXVF3KfeVIdpUMLbHVeIh01yT4VqUmoDCBeV
Sa2lj5WJH/XwnST6Pca3G4Ff4FuZOiuD4bUcIVQPxXZzjy3OWkqgluE4pxFJdTNBoG9CmUVuOCaa
P7qp0vddG9x2S7XA8wvMTjJwWATv4cMKpyRc4ymrJ54nHvtolOPnbqqOdWxlHnXFnT+A20iKGqJo
cxm0vYfMntvGPzSz2usFIzhg8jMPh/CgFsKzAppOzptuv8r41nXumeh2H6rpSzg7c2rp9DgNUGmD
dX7Dnwx5iTaY211wRc6Upl3g7qsloWlRl7d89IqbifZfg76IU6hT5CSFir6UXhvvunjkbOcUjnB/
3bOaQUusJnMnJi8+G6EHaD+atNjYhOV4gTovZVHyHVbAfJ4YTZMi3vdmOVpa7B2jc06L/oWHc5mF
DpOsNvgjBqwuY33sZzdkI8NLnIji4LXl+pEaHWAAujmjJn5KuugCbfatKbs6D2r22BSluEQQ39YW
Jn855/DH1K6OQkywofxerYafrI6/L3EsUpqsQ84mPuTwLx5sp/ES97dF7Sd53M/mrOM+a2XswSAN
YZWvId7hyZgGi8NXLJNO1SzcvgqK98YU9w3gmTxsgQfgLqqzaAxJXqzNpSPK361+1B3FuOZeMOVx
oc5zRYZcFuSlMvBPgeDYmzL0/Fs69+zN94v6g/axvDVTAnE8aMpZp/9OJ0ynrT//v02n/2mAxX1/
/fNo+vllv4wmsLIRSg8ipJx/UGG/jqYYeIxPcfP74xUTATw8nho9sSFkIuA4GBi/MTWI2+J5HuC/
0CuKmkk8jP4fyECQfP88mmJAO5iZmJEI5yO7+cfRlCyi42NSjtdKWnNOGh7e9mq5JKrpMjb2n6K2
zbvK1kel42Z9K/XQeQ8jLhauW2UGi6l54Bu9amv3YEV41kOr910zSJwODmxIHUCJaaYQpHC5F/VU
nmBA+pkw2EAhEYsy41On9m1smvHJCfPCSwdcFdfINIYLhO2TDOF5Wrz1zIxayiJziZPnsakhyxTe
0Xr9u+BqBZbiFwcXaBjkQc1PzSimTwYPeb8Q3BluE6rg/8onM9LS7JLW+XsTJDKfes/P44mrXNMV
N9FGkpREuKb2Ab/UcW93nQgyZonds8XcJayc0olqvp+adUm9wsJWKtWM42W4C4aBZ1Z1L/0sblww
Axd2ORnIrR+Ky7xabJGVGVMJOTytkiQDFDfuFH7DuCF7FlyxFe/FrKMvkNumYt+xrgRM7cGyLIfg
yPvxsazpU1L5ajyZqPTsgwxUd2SdyVRXRseOuUE9RdbnfVqORTylNC7CAw3mqUpZwd7rYpxPW9Dw
MKq6ztdW3btquIM0dVZNedf55JJYb6+H+ey1Ua5XyM2dSv0KNytpvs+KPErLX/49PH6sttsW+Per
7RZ5+/PJgZUTX/PLycEASW1PcQhA8P8BQt2qUjDc/RDP7Ynxf38Vp5AFwIPvGXyoAMQ+Pu+/nRwJ
NmEUmSY0QSLgR7zgH5wcWJX/cnJgq0VdIhIJMTZljh/i16XW9iDfG1ItV4D7XmoSi2HUfwAdUmYV
cTZfA6U/yClorgTEwdMwFv3R84PxOK5FAIp0SQXXhQVVSu8oBLUdzGaYN3H1Rlfg5RbPdb+U3fQV
Pj7uXk4Pu7prlnsuhMnaVsUZHwv9IRwgIvgjVgvF80mW+tqKrktBsorHQMTqMEJK34mpCPIhCD7C
dW+OTUPHQ8VhALLxRF3yQXRjv4dRSkBbGHlt5NJmYcS/IGgwH/mcfFIrkR+7cNa3JXFqb1c+wkFT
SxbgJbjKIClgalp+7LRG9mAm4LVh4R9nE/O8EZQfjcJtWoj4WQ8Ql0JTNSmiGDdjB26eey8ztvnU
6jHjGnwBK80ZDM2ujoW/I2I6wxG6TDr5hFfzFmIWxDKrN3FtbHGZLr+wKXxdItxJobV8Fl39uWeq
2ZlSAPIR8smGA1bTxotSqoI4i4Q41uvUHb2ofaOibNJFReeoJzK1qxpTzqpqbz0m9mUx+6li6wt+
0RW4BfOkveIuRNAgWeWRFo3B34R+L9xw7w1quqkT3Cx6u/q7bk7uKGzTdC3WO6bxK7VmyTs339ct
/Upo/3md62+w+/pUl+W5bpZrBJ4zjU1g00AAevdmctqegJI14zLks+BX3O9sRtrwGA3RjV7aZKdj
WqQsKF+MWB+QZr9UHSAibwFSAN6Dp3h/LFmUdHVypc6v6FfYMcydYjvUuxjLnVeEawuUqhd5w6BZ
lTF78wYITGOC7d5z+2gturTgFbv1pwZSk+zTmEEVJW1wg1FfIYeBo7WAkZILlsiDY/Uu6YIkxXZM
HnsGYWhKepXh2vStIyZMXSndTrZu3OmK74GpVim4HLzIcihOnoMTLlgdZDM+4JmPdyoV5rFRasE7
G05+wjddrfU/qLIY0iIMj4FWS9oz0Fwxj9qcFHO2hj6cd1e8OUeO0kvYqWbsQ2+LL0Qpm8U1zVDm
cRcOrDnNIYvSdh5hJMODBJwVXmOL8bsgg5GZQEb7pQ+fJti/WWHZjS9nk3HcLjLfY+ceqZdz4PSl
C5vg1GmJ35LlWUOfByA+3iz2CE8s+3CWB9v1ss542x8GV4NQd2WedM3XsmH7RBt81PExMSZe8MK2
X0w5nJd4Nqfai5O8kUFwLWdD82JEuKeSnTirMKnTMSnups7TacWjHXFwTxs14X0+tSotzPLgwBFh
STE16I81SUdCiqPf2XCXDDo8OFFwwIfdcDKduojSj+HIjPQ8RGI9dxWWllB3/k53Blwx7/dr7c6e
L56N18KyreSS4fSrT54MeVbW5uzRORMLYJCoMi9dXIn3QbU5L/Exfoir6m2tVgtGhFPb/7t8/zRT
t+a/v5+fPx8d9dcJun3VbxMU/ZB4jCVysWDPwx/xt99lITx/Y0tcAmxFkA3GChb93+wdPMABYxUZ
DorHn24tg/+ZoBS1FxBxEAsJKPsxd//BBA3g2P6JTQWHtLXmYMqDrw3+zNZ2ERJuc+wXtz0Pyh1d
m5pjLvLi4i2df1HxMNWp57vxS1iVZ6yNL4mAyG3i6hudWJB7M5vjY1Q27QTB36/gR3Zmt1SyEhmM
Rv1J9FPkMjhMYF5VCUncqyT0BXyY+tewKeSbHf2ih3XKypwNkwbYBp6qWKp9Ocqqw0AeIAY0fTjt
ux4fs7OLPZ7y2sG8GDlPa2miOq3g0ILJ6d+9RCzQlFqRMllMKWCX7wXoqjRyDU5ligOvmYRIQdsh
6tWLczMGV7Pqy8B8uDnzQ0DXm3Lix4J6N6FuToEoT4sssHxuPgqYEQa0bwIsP4TljQmjg2+8+2rq
qkdTJBdrygqzLVGZ4ENwowbdZ9Cl6p2LqirtjVfB2h6vix2uXr0k6SxgwjhEs1YN2wiQbwSkMLKe
ySR1/XtN7ZNs/Cc/ClqWTY1V915Xr7c0rPdtZ/YCG/izllMWA88qYObcTmEDHUCX7/EgqowYCGcE
5tkIdYU72j55EZv3JulsGncryfu+PagOf13TRHAeIA4VoO5zEoCfmsRcHKWpxpSyYW8XTz9G8waE
ztnguz6lHIK2IWDxJcBmKFBTBETWjSb8OPAgj8satIhrkr3fCJk2cOeXce3T1cTmhRUjJljgcYmx
AxclG1xfHX75KP4vdMGmZ/7Ht4Skig8cVlBEDYBeI5X6J7ig8svZr/lQ3RG/NHsKWu+1dHidZler
8t/z7+f55+NV+/vz738aI9XbX8+/7at+P/9QrRkSivoAgtQuNIZfZPEfxjcCngzXCw4Q5D/nX4J+
ZfwPz7D5XTH/5QaB8zJGLSvlG8Dyz/I8f6HeYa1jsuMHTPBILKQ3/nSDEH08VxVNmqsXdC9CWmB5
Y/M1cOzUBJjiVbRmA6zPmLWpP8X7lYob7rq7OcERU8xtd2pl16aj8LI+HsleMH/va/o0y4nskhjb
9CTcjW+LPPJg78rAfpIJMVkTNDcl65ps8vpjUw+vbbSIdAzC7wWRQ4YRL7CGLZclmb7XYwCHqMZF
HirOLnITSwOn1p0/ek3et2yB1jxiq8KnHJqjH2VWK7dX2t0Tx1iOgO5lXKBUQsB8puD5c6B537Uf
nRH1MHm3KGxD0wD1WdCUlZDvVMzvVx58nopVQCWQNXh/b06b2OIfo0pmqzAkbVtRpHFxosLuXayL
tAMcl5J5+bSW4tbG6mIKcwHHEsK+xNbaEvI4yzrH+dvuakVui4B8KFxjoWPgEoErHsI8w4S8QO0l
aRjSY0uRvi4S8zlhvZdFPrYjkTH4CuLJksp8AZH6ySH4fbHJcDXUDocmmIGdd/2XRQA7VPWhNXOU
hiPSx5CNdTrSgqRlkdyWgnyiHXy2Uc5XD5mlXV1DziRsFbuVg/hEONA7eHp8pF75nTWFPoB+xWSs
64uOXu3yCvB3H5rodXBUH8YeOvYIxKA3c6s/YZSqp8ZvTP0mxfp9XsrHlcLOjkej4Sr2ZZK89kF1
V+D9ffKt8o+LJfpK+oJfQwTUz44XWcihzMxxdLS9g6Ve+jIr4Tvc0WqFZC91Ox+QG/g8qxk4VFve
0kW/detEjr4WvEv7KCnXf8+5n+dc+F9Bu6cSPN1fNFYoH/iq38459CagDB7kLWKLaAOPfqV46P+B
4gGhFP8Gz0TdtsPfcotbKDdEzHHzAP0N8vl9z0PpCmAgCBsIePlQbxHl/Qd7Hp6t+odxCFUnxEK5
eYkRQ2EPtJc/KiVI8PrUNF1z78McSlk4DmkQzp+mOBK4GnlXYNJwslZ5Wzfw13uHTC+U0B2SZUM+
LcmbHuUt+u4/IIbbZCroktxRDsBBwB5L6DFpxn1kEVxZguMMXr1tvTqdPZD7NHgZmM0iOZcI3pbI
n3evZVzdOju+xVW5mzndWU9UqQsMvKXwGyKPB+G4TOmAxJYn2/FYmf7Yc34ZKrHThO1XUu28DQgJ
2HQTEf0R2cu7mZTI2PShPJQreW16f4+t/BnhQLaPiwK0eNe6Qx80IuMsKdMwGs5ssdM+wSlliXfk
tELSoXoqJmuyhdJ5N+EKp4IQ62Ji9oCx/WOLH+4CKYpkazLD/VCgD2AiXTltvgOFMQdHUGcgRU1T
zxUf+kbDSxmX3FezB8emugXoq3MpSL1Tk2k2FIohmKEd7KVkV3vuXDKrcjE3Hy3OvHPbqXxM9EPZ
lx3ofn4OJk/g/m9vudqySeMBS9uDRFJhN65oYHA4FIBZvKOrYk49AD1LqdoUTyp4qarg0Q0G5k+h
42xsaJu5iH5YW/lSqy6fG5hmMqnjlEp5g3kNHcN/H4Y1OlbrEuZEjm5X4maaBgV9QPPH57LCzy8c
lu8VXlIWmfA4RhhxBqw+8kvjm65wNx0a3Mj7FHgmdkMbRLB48ef4y4CcDFewjcvnwrWPuOIvmU6g
4a+QxaBR1WmnrEut4yyfK3xdQy3Pg7YOD60er1onn1lQ4Pc+jGkdLF3qt+YlGOWNreQNeGnEvESQ
YGuH+xgStaYciYUMoTHwJNYcCqrvVMlvOsli+MKIgItB3vmVfumqTsI7qDHTZZ8vocqiGT/oPMGe
DZrp2AX+PSGY0Mg5HuuguPRiPA3KfBy96aAHdVtqvQ+jhYNowSAXw8R3YTT3adSUfp740/PaybcB
DJNXLYdZGpdXqoMSF+krEpSfmYvvdTfbrObTU1I3e+ufu/XOTreFh1SPz09iUdeAqXsyFUfwq1dv
jKA6uulANn9+HHsk7EqMshUXlggmMt6gssgQZMKE5hFecnxT1TKTJRFpIfOMUd7603tZA0ZbWhrv
iNk+qvXwdamifNbJe1wt40mjjyLbrlyHQLFTGXQsX4uw7VPiKLh2xZeD5y1gAhZaZDou5z33EOtF
1jIVS2nPGs0W+3YKv4/MhvuxrL9rOj0DhvuGgpFqp4emTQWd790Ivg93xClzNrI7HEcThQukSH/B
JmMvOHvgjScmBqneAR1UrT0x1VbRno4mYh8nHxLgoQz74DCGzuCzhGx0usRLjzTSKJZglygvXFAC
QmhyxDO1cCdFEGmVd8ixufGJ/+wm4L1HsTaN+jJDyCyf+zUk07W25qgFHHZTge3RYR3upWQi7XyA
a714HAoK1RhBtTBU4773+uWQeNGFxYvMwX+G6dhE3yDQgna2SIa0VfiMJEySlZuGF/hrdKYab+Za
QVzCf47LIdNfYFO9llVPcptUbQqC/x3JzCmjpfbTUCHw6vu4pPe2h3INesmZIV8kAgK18W5D1T94
xQhMTX+Z5Py+ehSEAvaJIVj8VBjWZANdzqVDEcncplgIX2WNm54ErWYJuGsUu0HXtvOTT7CvDPzG
q9xLU5L3NfDxXQQcnalFZkjmcMeIW6o8ZP2uEP1jveDowdqSLku+NJcG4QC/bsApLvp1FuuppLQH
eLZEWSdXdDCQ9i6K6zUHbAbcw/MecKsj+RyzNZcI76y+u3DEpTK8CuYYK5hCg/btgYYTzvbQ5DGX
8W7FlTNVhffBwlti4jPpB1TZhFWRlx7AlaTmM/5w1ATxmh+hDgdg3Zokp7MU2ZwsUO4XM+9iPd/A
TCBpkkwCJUDxVc7qdmxiXGJNcUXGJB3aAQa4fY347HZkqp8c8BLY9EBgCo4BwqrxYzGOQz7O6jN8
mHPl1fgZx/UZEcVyj09diPfAqlPktnB30PZt4PwjDui9b5qbui1tSgQ90kp/7CZ58GS84CoBfm6m
92A7HznTXyUGXQp66C707QXmTZFNKiwOxRr0GfP7k/AmjAQ7i5QwMN5lXZ84c0k6CZVVCekOA5Nz
JsPhWsvxHpvIXhH7aWqDI8pxwC+MQB7dGC672oe84wfI0fC6iA+ewL+NwYMgNjgdlOcFh4iUyQld
QTwbyubqG0CgSWzPowJv00X8HA/Lx0Zpf+c0hiCOrL0nV3Hw5uDSKB5l6NyA34lPGtp7yH0UwKj0
BpDD2I3b00oamk6oWUod7QqEuOkpDOV9OVafPCy7e08lKsUhhwOOzccVF40UT126J/20IpJGkW7U
yzelxWfKuuug4m9rSL8tEezXIXrWtXjWUFJyS+WpaM2zr5MjBTU4J+RCEXilxCGg1WxZ2/lVtM1h
jNGYU69nMcoHFPd0Kbf+kwq3Q9xje5z1ZfbjVv3/OgXz/yE8/1/tyUwr+6NB+n9dvrce0V+Wb0ah
h1L00UBs3UTMXwAH8AsQSn/C8L+KrJBffUpQRAEFAD7mVnX2m8iA50QE0GRBJfzk6/k/Wb6RqPnz
8g0KHxQ9vifYQEAYfwIceBuvXAHRvaJZDPHurO+0f26WIDyrFWn4rEI9mKsEcPPFu0kU2gkq1k7p
jPlbKs9PA1t9WIS91MnyNPnLjSuAm5sSaiGSX4jwyRXJaPtpbt1d3NITk7DZcGVNu+1evCznyIxR
tkCskGszp+0wIOMMVraIMbR7St9pImw2//DZZe0yxMTIrq891H8lGNVVlWRhg8Q4H8oXF8EiG5rQ
7bh1be735kMYgSUOR49k6OAAx7T6+DjbNBTdlPWq+IyCrdwSqMBAlXOcOF+jEYpt0bU5C+Jv4F9l
NkXyOeqwFUZxdKILmLlOximyxs+RCA9JbNasmOm+THq09wztkUQTy+FGHocFbIgLpx4R3eWr08XX
1i5XX2NdZuhfkT6XWRvWh7peTglKJPbBMgN8nODZJMJ8F+jUy5dAPRt4niktp83isW9RQda7oXav
0rDiMjKJsgMGBqwU0Q6HTfBIhrjPQ0TlMwn7G9Dxwg/zXF8C1k0vCZ96LGKoztujsgFmWCx3IYq8
9o2jftYgOb9LSsxFwXH8j0QNt85PlrxGywmsKGnyovFcZhHtSPuhLneeRJzf+bLYKX+QF+nr5pDw
2T4RNq2fEIUoc+0jAlsPjX8LUBwq1VzXL7oHtCzjOHqehrZ9HPqguy8jIk9J0C83HS8otkYMJkRU
MQ+9MKxuihk9c0hoLzdjvzYkXVu/+LokcPAQKfS6kyL+Q615sCvhhn30HV74Q5GQ6ItXcfEe4hK4
azeWZLZwF7GGZa5F9mLYiJNpY0+GHtlnwCjWrXjVZ1i04mYArIKYOs+8brzrN46l2IiW2J9AQ2+U
S7zxLiHAl3AjYLrWxwDYmBjcURDtF2m98TJqI2eijaFZwzoAAAeuJt4IG/0DtiHyKf5J34DD0RuR
U29sDkdBwClCxXlabuSOl4DhGQDzLBvVg/x4vmycz7+H+Q/WZKs1+Xut+Gm09q3/q1a8fdUvx/gm
6BIK2TdAtSNO+N+PcRSbYRffzs7fTvjfvDIO4QXicQJPjAfRxkn/fowjJYXKGLSZIiIFxwzg9T/Q
UPCUgb8c45vfBscOlBpDXBE/36+0yUSwHnUed1cW8WHve43aDaEP5bSmyJxcEr9aGO4VzPMyVihz
OyMk4rfswJJ6wnsfyqosfXazKKz4U0VUOgIrw+DCoeAo4oOB5XcR+InjMsHzJSGK1KLQepfWCXYY
Kv3M16DKPOZ/Ux3uBohOPrRS19ChdZN7ZnOeRXxdk2bKlEYyWxj0UiH8Ako2gbY7AnpF3xl5qKnX
nCZ47nlbsB1KX9jRixEawgY5nAJ0UiaweRTLpKkfUQP3Ntfdk0Ynpmm3s9OPvFOFvf0seNNkq+Xm
6o/RFwJ5l3f4LkVQ3+LR1TPu3WM+LKrJi5mDP8NLQwlADzE9+PX6qR3NR151F1kOX3yPHirT4odd
Z5IplLiEzOHjP7Pb1STfAXHUmXNI4CdkukBrBgrQzF3mjRZncrTsOSm+1ajNTFmi9wUondjrbhUx
z5UEfx5TU2SybPvdzNzXVZK7QPb4B2zR6BVqMlAZXXI/0MRzB29Ubkue1Vnhz1PWofwExyVkXX0g
AAl81G4SLNtjwPdBv76tCco4WTxd1ML6LO5jYBeDK8HVDCYL2wpkRzKbIwdllM4k/GzG5nb0KCKl
odlNC0GJlXsrYsADxAAsKcQr+oDex1joPK6ZQrxlBavv2+Y2ach90bsojaPOP5rKQBNC0wuC69gO
PJGVjY6yHkTFpiScJuzxVaUfRr/1QeMC90maar9lv5u2z0oKJCmIHhbU9FhlOEAh1Bj0tsknD4t+
gq0eQXWA0LIWIKrc6h/jRsmdbgdo+aKwO9khkV5UIGkEyhKG6FLMCWLg3bDklslX360is5N+jRfc
8YbFk/mWnz8W6EPLZ1vXKCwJJRwBUB9+sBroLCIEeC+e4iLGewoo+pG07a3d4BlwglhVNqBGbmgN
BWPTePNDBOYGjX9FqjYMh4HHaSNyBARrcU/i10Vh2Wg8AnmtDE7+hvNEG9jDNsSnAuujF++Ea1ef
OlBAYzWi8YR+NaCDqhCCXSDAJbHgDsUJbdqDJJpm5u9ATPYp2lIneEDDPQV3VIUSIqgpjxRE0lzx
O6TonuSGKrVglhpgpuBwgDElG9BktounLaKXQXcPKIbdGnLqt2oFBwWO9LCO6OQkGyM1bLQUBzal
N36KCtnsPFN/VkCrgr6Emw3YqverL2qjr4KNwzIbkSU1vR2BaFVAtQIgWwlvfQQn2C4CzFVsVNe4
GVIb54WG1xcL8Cuu9I3u2yadY6AqcKCfLdqB0nrjxaaNHBt+MGSIiyAKx8MrqXXiIRC9yu//jsUf
Y3G7DPz9WESZjn3761TcvuiXqejDT0AH3nZbIX9wFtB7uMVy8fTRmKJ47hdnAfF+hnEJsONHCHi7
9/x2udmej8M25Jox+rMV4B9MRVyx/joVca/ZIkWIKodoaPvTVDTLgFajkl6HJfQhp0yn2YVdHlSU
woTq9vgwj1Cn3OeYYEcbRPgNaaMbi+RazrbikmoBIGz78oJCYOAAvrr1KngRyWrGfBmmu6WPhjzk
vc60Hr86rl5KKXZo03msw+qgnD0TSh47gwRx1TncUgwZgE6TG9WiF0h48ceh5jpreGtRKVJ8xI3r
M0NfEtKcK9A8tPUyQa/BHO14p89x0wFWW+lpnQooqTVJsqlcDuhW3JHEvIMgfxxnwc4KCQ703X5N
pMO9aP20gDlPa9IiQ4NuIsztVuXb3PEXfORiU36ag/FLvUwhUK3ySEYNeAKXCOSpaJ9apDkxbeld
3Xbnpg5pOoNl6aYSwqWnkcdskqtse+SeRXet2GTOS2vRAyKRKY5bbAA1WJaM+6K4GyLt5wi0rvjA
hus7BmZ9N4WQPCReXFO05QNBy0haDv1bCUr7tgLkwriHiCEx7lCqIbkOQE93cTzjtzaWYdrjXM7q
FoYCQrMlFpcgOuCyJdKoR0lLuMTiwRc0OKymghCKswoRbQoKZUbGQ7YUWp5rqiOlCw4xKcmhKre2
wBXdd9GCbhqEKFFxAzQWORSYqOEg96FvCjB7tNmhbpscrKbtTtHqBqT5ZbXVtVbByToBXbBN3ou1
itIqbkOEvSTN3eiqHWqTwbRucTS/KhO8EIED2t7xg61wYajQ5nDgBA0xrehR/4dupUcYrclh3Iom
QDRXRyRWinyaIDsNlHoPDao00nbF37RboiiVkR/tE+HZrHJzkjrIRzsPjU2oYKnlmSGQexCk/ODI
cD+OvtqVHrpotTVfdYOrt0QDNqBAHp4NhwEtAGClbt1eIknUl3lg1UeFeqp0KLk6uhGVnmQROm0K
FYA/RWa9NCtGM173lPbeeExm2MHlHGKdQ5Lse42ID3D5uNhNovWOvkUuj0GULBQyvCiqSVsOTQ6F
Zu2mi+LiV81J3pu2yaKpiiBoLQ+Q+8H6tPVuIFWAfl3S3KHgzh7RgfRu1frVBhOqMUwwpg1v+luJ
PpuMLhGibV10itxc3ERePB2SQoWPxBs/Sa6tl/t2XIpDSRaMHzmabzN+qniFTViUIJGHpOygcroP
ATTB/YKbduZP/Ix1NUIlsAtSPo0IVAzYzlCJiD43sZNKeWcv9I+S0o8TwsMZohwf2q46x5W6x0D7
v+ydx3LcWLp1X+W+ACpgDtw0E0jDNPR2gqBICt4f2Ke/C6yWSlJX1Y0a/IM/ogYdUS2JmSQTwPnM
3muvFcXG0/cS2PqhK63+CdP9x2DJ4ygU1nFs4D0o58OxA2a2c12ZrGI0oqswVY867xZV0aHvxVe0
u/pam7MTUHlt1bv2w+yAbowTJJ2yzd+Bl6AFyfN9mUzXSO2ODAxgDS7DhIK5+zaNNfhWfcSkYSrH
VU9PDo413xctQhC7NczNNPERanV+2SnhbTYGL2rZPVeCx4OjVhis0uYQD9rrmFoWWIKFctwy9tQ6
DTsJXrdUNMC9W8ZHs5bj4O5PrTM8diQqebYirtyRsrTM7WLPyIt/KRncdylNQiXLQ5eoOzBBxboX
wSZRy/oS0vFEhZSoqJhdT47NRxuw5TP72IPUZz3j4MhNH9EvFbZ8K4W9LzrzCTqQuY9zKotm/gLT
EHJfOe74obNNpDM7yrXZyyz7DNF5G7mlgkt6YMfFHKYvtZ1SW7tpYK+jx/Af4+F6EaZnegsnIM6+
SMdl4G+ctbDaKpg3Q4h9fKbrMdP4/+Zr5MTxuo27rzCmr0CASr8vp73MReR3lJOKSK+hrCmcBR17
xOkQyew6dxVPi6O7DGxsZBU7u8tYtebxXRaDj9athi1Ca6/yiaoVimScrR21HaH46gyE1Q8EbBNr
o6VlaB29daAupKxDreJGXXqLf2ujz9rIRI3617XRf7Lz/rs6Wr7sW3WEiJbCh8A/W8VYpi0glG8z
AwjqlDkMcE0AwmgoftCXCbxtGrovQSAVxrOlpvlWHRngU4ROVhVEX+3zr/5BdbRMBP4QIaK6IHeU
chqRGXyjxU73c200qkrYN03RnaEB0Ux2rJlN1uz56offy59oHTX1vyx0GMh1NoLQYFRcOb9yqTU8
1rWViOqsdqZ7n0a1Yq1zO+PqdRzUU2tDFp3Yt20w3yY6FD6oUeIxcezwuSoT56JBcHHQbBAold2Y
41U0GTfGVPZseKbQbg99mrTGSz/WloOptO57bKK0cr3oY8wDSnY5JFmr+XFVlTpYv6zD6quEAQ/U
NiiemCm7vunMjYr07M3MxHC2FxSR6Nh1rbUqzaZNGXCIZHAalKwtsRLEQ2lcqr1mpsc+Sy4bmTK4
xnwHU/OKI/rDbKv3og4htap3Ng0UPO6tqVi06SgBMJrHvssDzc3ZR+f7YJpqz+Bk9JiCetlUf40c
JFmVOGt69bUz+tuMhs8fRJM82zBuQEuk3QngSnOuW9O6yGL3VLk5fuyZ2pKFl/FVQK7dQTxTgT6j
eM57XBpxppi+PjgntArntmgHb9ad3gvjmSKmsO8nTXnK9Kj2YBXjOJcy1G1mnHrEZRGQmeGosY9c
iJeQ+kaD3HLfCGmMnuUU0U2LIZnHGcMId1THJ5HFDPuFTu/Xph3DaKVBSYCvvLakcxEpmnb++2tM
/1UpzrW8KJjYi8AwNrisf76W66mpw3B0mnPr568IGrTb+ZYZ/apey12xYzmHAcUnPcVv/GJlXoiN
4eu7YJ3+H9f6L4rNT2GvjYDJtUysaYyffuk3UHoPXQjv6hzo4QWy7nGdhnWwqgbBvtZOXb/uA3QH
PMLjVeCop9BuSBLgM7LSGtGLDRMkUKcVCJMXCfFu0+o0IVJWUH/mFxuPIrsJJUIJPT7WGTIDvakn
junE8MYB9SCZBDkyydFH/7QdNDapqMNr4QQQE9zdbLCk1PWtEKa2qmXDReGKNX6QXYKKpmSvuCrV
ioomPOpY09n0wwXA74WaMoFm0qMsHTGF1WGSUnqG9yHTQDaYp250OI+dCjwYF5rt1uxl1OT27z/i
nx8i/GbpI/HyWTwvQcIZ7i/zTXcmtaXKg+as9nmy5UGQ8cOrBRqsyDdLID+iDl///i2XhIsfnpD/
/Z6/fJrKSCBOn4btGfIqunAUAR3Dr7m1gUB2p7IOGGNaDELtGi9w1jLAgXp/nOlMVnAGjmXsPKkx
2EhgAF8D5BhVXZ/goF2rwfxmhvVLPsS1Vxd1dfj8xv/dyS7u678+k2/i/qNp4/c/mVksX/j9VCaq
gWNXZ877u3bxj0MZJKHNkcvQghLAVfm8vw3yBcMM5hgg5i0XT+fPphcePZxUOB0W6iDRU//gUP68
jn88lZelgM4k0GQ0omMeXa7JH0jnkb7sYnnunpqyriv7qLBvYxjnMsvP0aeIJL10O91IvcgKaHJg
Pc0bbZoQwkwyNi8dlL2XXQkIAoy3sjeh0546tHveoLfFIQ/c/HYyiOfpRlEdyWUs38D9Dhd6PqS3
QiOzCfQPrGE52h+IvcWu5OGx0ZLGxHtYy/IlYqHhgvdwU68ZsDe62TbVNQ6TrDC/9NgsvipGPLOD
tGLMmlEBuGHSspXquLgrLChNeqIjK2H4HEd2epXnXXCnk/1z01VKFt2qCWtapNK2Vs/7uYp4nlDI
OpwzGnRCnTfs1L7TVz2rGqBedLjl9Mo2pL9uGs3BjVk2ugAFYfXqmdFy4ucmvOV7JZnRyNd9atvr
cdkpMsMA20zfMNUvadeh2ehz6UMK0T0bI2pTQZqVFYOixfqj9o1rHvoKV1DwaRDKF68QqxFaK6Ve
LERTXBgG5vo22U8Ru1Gs4eIGdWpv7/TFiVRiSZJJFl1UVmDMJzOp5d6pnbi/mRNH20yIS2ZjHXFh
QqJ2Ad0qvxtO/n0iLKrkv34iEOryyjPhtf3vOn35wm9PhIVyiMuDO07g//6UQHyr0/kr1zWp0z/X
d5+Rbt8eCc5viKmZYVrYQ35f4H2v0+3fnGXgiGwDkfQCqPgnjwRjCa/74RyiUnd4GHH6WVTpOgfh
L9VNETqMe3oHESZ+pV3FdC8KsSE0xnDo7H4ClKC3R2hD5dZQZ0BbY3dVJIJBVpF/aSjDWHC0O0Bi
pu8azbQOB8tYJSKq14zQiCDCSuxF0lG4wy10w8OYX9Wh+xiZMyw2JBjrUZ0P0LuPjSkW3A6DMSXa
1lP1GDhhuZ5r54S0DQdBmfa7LpMXYZ6gExTmxezECCeFfbJ0cR+arNpl7Fy7g516RRNfS7V51Tkz
gSSHSLvMajWw9MJl9wnrmU9WYT8SOtauUdc8uVn5aI39wU2142Bnd4rJDoYF1hqg9H3RcBYrGsEA
wXCwufmKItloofKs40QNKcWlCnevbapjZZdPePnPRpSjOjMJQRtNBH6WeJUZfLRiXLx4Nlska0bC
PWYZDKnRQhFcT77jFJ3f9wjXgiS/bIaR3T46uDLCGg6a7zwsPUI4D9oWfccmsWqIgz129ZRKTNHn
KyOw3nRZ3aXdtIGKjF4yLK5GYW2mKN/HQMZRvbRXVmffR3UQ+pWYnqxFnBwPJvI8TUC/KuBjGTFQ
nEK3GUzP181Y2Bstyi5GLfuIZlaKaAPvrajRgGrraGtL9zLpbf2cBfZudMLb+iyivQXmUR2cgzWh
8KG238Q2jB1RA5CWc+JLQ/bbpnOeIouZZFcX+iqD74TpqFilefmW2lbpJRKppl5rm8wBD60y9pbT
LgbFtNSLX5rG+KAt/GBuHu7CWpwXtDa743A1UcH5SFTFg2GmpAhMDsOhIEZxVV/kprXPTA1efbRp
nBBGIFEG/jSO+loPrWnrfJpUCrOT/tAr13E1vLtzOiySQlAoKsDFuRbtygbBKJRap/ZlwWmVgP50
Gr7CsR1PCGenLxzHshlfgezfoVnxUKH46oJd4dLlOnIf0f/yQF6IkAxoaz92Q5SGdodkEZA0AzcY
kjJjqm+Y2Y3bExakBwby9GiPYPAY9K22yhcWZRYm3Bc22hOEocAOF2YlIix1oywcSxVa92FCCU9N
/2aEsC6JeLzBZY4u1TKafcWubRXJARr5DLoQzye0zBmBOXdKspA0YbVcBaA1o1xVvWqhbVpgNzPw
URIMZ1tex0KgIIbQ6Th5sB+t8jyynV71HPmuXr6zygMjCd8zF3nl22mbesqopB6cJPCp5gI/rc3Q
i2ZlC6UxmV+Qfb73zTFJ9jTCflzSfdQBl0GfB6/TAhzVp/oULAjSAhbpiO6+gALGRDl6UML0I+24
ZXTUjn4FybR1cagtaFOX7BeQ49kdESxf3YV/Go5cd8aCRC2L0BfjXNM2czADLyuOij6aJw2YKv6L
+jz2UJsIHUl8250Db1zoq10QlOuwgcgaDf2pb1JW3wutNXPj26jhajZFqO2bDIuHCPjECTogLmia
r9lUWoB5aJTavMdKDBbWYDTCHJ4bK5pp5ZSFHgsdJtj0k0y8Esf8btERL6zZlFwQeub6OhfGIQNH
qwbqXbDQDjW9vwgW/qExzyMC3bJpEtRvWvOUumY7+FZbWMm67ZJD1/XgZGRv5PomHoICuFDcItsi
KvP4b5fwOblbcC9/XROcPpq3DxbAf4S8/W6zWr7qx4IA+Dg7yKWw/4Qifi8ItN/oHCxCiDiHPwnG
33sEugfUPkv7T5Pwu2f02+DO+o1qwLAX4yj96wI7/wc9AnvV/yoIMEzpS8rhwicnkO7nJsFQ9IEk
iDS91FQhmwtXxpW6jvtcKI9OSdibn1tNPiFUTOprjcO20xEqN/lu3O/VgL0kZXmENj+RzgOJFwzW
4v4Oe35zUMesxPUSJuPKkkWKxF/gTGmDyylFoW4mrCkrHV1+POQ3ZTpdjkrWI8zXXxl5m2uzSQ+V
Ol8RhUC7EDQPo1JsK7OcN52D81Id3i2Yf5VR8gLGXO3C0dz0WIh2onWBYyXwHBvdR5kCHkZTLb9C
jnEfhPmVIgzuCXXCeQI22CmD6yFPOLXJ0tmFQEiw1zu73lqMnykaPUt/FkhLV0OJ1I/bKWM7W/e+
a4pkR/pR5ruIYYDhBpaf19FTB8/WK8wqZZMKg3WuVJ7UEbhC1DAKz0FLRrsI2jtk1YpQ4JVu42Ya
MyXboZSsfDa9KKA0LTuoNVAdW9rjo9WDiy/tfF61I10Ztlp9HWqxdkaWeIGRTL+iNYIl0IK6smpb
En2TtJuoJIaCZylvrSfOY0Byyw7B7exNEbFOU69BVR1TLJiJ1nBoEHpzcKqGEi5H8hHyPRR1fCFs
xYJSnbbk9upDSmodjLEvWm0Ir+uWGi9JThF1Shc4wDLxEkUFgl0RzhvVzK9F4rL7+NwFGU36kZXd
Y92mx1JVQy+3cXUikFnDCwXJoBADq3MhMbk0q+wGN9dFpTfPupIekyFG4Kvnd+BzBl9Gzpuo6is9
tM9FPmIHjiS9n5lMMQ9EDtrknJtRMp80EzSLmg6EcybWGvNEsE+naN/lnN1jwFZ6pHn38zl8m8eB
ARrr2VXlMiEr2T+vTLfAF9CYb9QCDU94NaXXk61nMA/rNLRCOSTPxWI8ycL0Ylwt6LYqKIyBOEtW
ihigzHKnhCRJqE7ojzH/MuF1I8317Ykoj1SlUsxMNyUjCXEprJreU0f1bJuA/dPGZFVape2FigbL
ike8Nmam+3GGyUPN9Rdr1FgnTuXtgOEGKvYARrJgi1MzacPUC72AET3HlP2RB+F7VjoZBpRsLZMJ
W5iSXJHTBq8F57YGzWnNspEwJm3B6ZfEGTtc+ipuQK9QoaR5gSnDeKXgfRtYBVKXXxStLO/+PT8+
zw+V6fJfnx8EsXUtk8Rfz4/lq76fHxoxFYyjSeFkHL2MhL7PmHSdmApTxTPLrPoTT/j9/HChsfAs
h6qCyVP9SfMPcwAMgGHTB34y9f+Z5n+B+v7cUNpspJwF+cK34LAB+vn8YFYcYu0KxGUK8mLaz1aJ
vqyPDBlcEqBjoG5TCGzbgQ9lQ9lFt9MigYPsWdF2IIvTAitekWeY+p0rhdeauE/VYbEwLZK6Dm0d
iRghNNH4dV5kd7kRtV6DEi/7lOShzUsWjd4i1qsW2V7vkFzjLFK+2EVPA1MgQOSJ0A+Tbu9Hi/gv
shA2LnJAzY4fe/SBMTpBaxEMlqNX9PM2rsEj9IukMEVbOEPLLtEaUkCz01rkh/oiRHQXSWKMNtFN
mmvL4vTo2OGDydavUE4if1wkjcRVFZCiMrywbf3VQPeIAk/iz7R9OX3Q9JneZNZ+v0gls7w4jYt2
sgiR2i1ySgHXaE1nXq3Tioe5UdKoz47brLV+PBhznPg62kzgTJuu7A8amk0N7WaLhrM1Wr9B04mu
gWcH/vx10xsfkqVuOkAFd4n1no1jwdpshmsD1iEAY2ijKGQx7Cwb4iyrdjkr47FM7jJWyFIW11Wj
HiJWy+TjkLLEA77nI+2W7bM6xk2xlYrmbByrutDM/AvYVk5mOziibjiSeQaYC2WHdcGwo7nGk1cF
L2R5h7rfGmVYXCuznKptrrFtDtVUfQLLiJTU6tM33TSQSTQ8fPTuDWfGxtbdxcPGX8fd8EFL1a4T
fAmrvAdOO0VnUQSOz+Rh2tQy+joorLgTZ3qmkrqT83it9dqL0QB9K+fnmKjwtWW2hm+H4j3Wx4tB
DaeXBUu7AtFJFqXBQKHnwDRVSO1mc00g1M5uHOXY2fXdFPNjwdIkdiF0LoOxBdIZzZDPTa+LJFKC
1HJ9aU3qbra/akkp/IWL0UuyrfIKzGxG1loasgYxlZjoREIoKzjTDf6ItVJGb2FazyDZpnnjDItX
lPgWXWmf2RjuSm4b9MMAyciaY5fZzgDx4Vto5DiNgwiIBVCupkB5arDVWpWhoThI7k0ouyTVsYxr
SX/hbgaoAZXDTgHVyfKioHvgCK6o9ThCIiv92kbyssrFa98idclA4adTcnZ09VBhIVkxDjgUQ8bm
iIN3neAPaSLyqRPZD9t6JNBJRjQ/upu9FqnzPNuln2fmnknns5Ea1e2sWIxHIoe4S928t5XodtQ5
3tzhqY5EvK8idz+P9QF2b3VA6/xkoaqhioXtY+GpdC4Vt72OVOujEvM5z5tdWnJtzhaWi0orOo/M
zJu+R5VCzFjYxdsmiVw/HfE4c/dYL23f7iM96W4Cp4+Iucw2KL8O1oKr+/do+701Ysn/10fbVfb6
9mc+CJ2v+n60MStVyZa2LCQ6v+9IfmiNQPgCP2Faxv5z8ax9m5UuPgiL1kdF3Sk+efHfZ6X4IBAh
CJQBEG7Y8f2jo42k9P8+2hA1oGmgM9IBAf8yK+0nUl8kc/RLOfbpWsj0seynG5sgNz9zw8tcq5M3
sFTFKp6MO4Og13VvKMGtYw9flQgsAwtIfP7Au8k79dUic1a5jVYvboIvTQh6cMxQPvVdccPqI9yq
EDq3Qx+cnJwHcFTZXzojvrX6+THKJYdOJrsVXMP1WEY48u3qwqjanFeMmBy5xQYf0y3vheycVQ6r
Y/LzOuRkidNhZyc7SabuvUBMDsUyfE9a5ySa4FoV42VE9l5pa6TJ9dO1zlJmIxwQNYnor0adm5Yn
Nmp8HV1kvtgFcO/Nc7026g4ImmBaOVTaTouonF25cENj6fgdtbBvpMHWSjMWwUYOaKwSd4Rs0kK4
Xgfep6taeiAK3TWIxj1+DwHOFw0jQ6kH033PywBsPxEVbX5h9/KpUyEgVzznV8KI+1U3BZj+e5aj
5jh99CQf9pq9sQ3F5myLHkINapHrKOvMyeqVaBgcx/Mu0e3LIbZRE8AcKpuHUjG/dN10oKYloQpD
tmGj8df25GxeY/aHlWBaNw6/oQAwPya9hoTT7NwIF9u4+iUdYUmOqqtxNsDOd+3hPtfFc+K4Z72y
iaDBo7ypOo1kvtE+aIlzx5wOysKsghZFCEi+5GE2gvtqbM5Vp+BLQP7fZtmHUKKXsVfuKqM7jtF4
IwkPxIvy1CnJWwYfc2WaE4bDKrRXM6W9r1NZkONyCyYpRgLqnviYjkNie3DkvEB81SrTJ+IRtgPr
PUbWraeLRXGf7KzEKVdqaG/nBAR0U5QvRmE9G3k7rYtpfBUdTnkucvz7If07GSFHrc/eA65It8Ft
zDZgq2XWRWdNu9KS770iGOJGxp1JAxmCS4NIWl9pKh5JLe1HD6l2tGoUspOUqENOajjL5it9SCS/
pLmgPTZJKFiJXL+RVuWzot9Nak5+V4t544KEtPCMnhgFMn6DPYNr4zmXMcwlSq+IgMzVLMU9U8To
ehoadx+kgBZK/Nhbej/asG4QHGxa4k9dRB2nVF9BeUr3OGiEYF4HUZBMPtm79XzfowFYdICj07rg
olNxWwQGJZQSGg+xSEpfaPidyDagBRMAXbFWEr7IaZ6AvSvc7VQN5LQg4fLk0GQXMQLHRTejMYMw
nsveTJDXcLtlEZd0MRAPFY2kmTNAWiAwXui4461TsSeA1no5RvM76BMsIaHjxXG9UZG/dmkOSm/U
MEoCP/KW6OPMts8j3AVZQa1SncfYLHCRYm2RDjnbUu5jMgIa0FrZWF5lcbepemS9s9IS6NmiI+rl
hYiK8Jyl430qiFebUDqj3T23SXM11t39whFoDPYrYTB8aS3xQCbMU64SoKEH9TqBswIXa56xhccP
qEbwz8zAieEmn4egd0HuA+1Mo+yoDvOWP0XUGCfMi6X5XCmIdfVa8Rsj/Ur++n2V2A9VHZ+AIX5p
WmLBVcgzlnQvrK6EBFFHTMfrAf2JhEamBtoXEqBvHL048uFhUk9oVGVq3+d9D+QMnsraHJzIrx0m
67MiCKWAX5oQPFFKbqaJW48lz7mNiPEJexKvI3mTdDwFdO1C1ewDo5Fjama4nlxbrrKBoiXocxIS
Ytwknc3gQ6D59INUfihk/G1Ktwbp28H1qchzLgJXIcOmm3Z6QWRoGLwqU36M0vlemQxENuP0pvR1
cjsxY2L7NOyY0+Pxn9iJ22H9xsaD3rtRq3WZF/exA6W5qt7imVI9RAB2NxZwngv93ta7nEBNPo3M
Jp6hYxfiBCAJrWGP2C3wAqvDS8XpUMk3Vx/AwecZ11qbYz1bZWqoNBeNqsGQZylY+EgM200byNZ9
0fNW/j8Ku/z/0ObPbPWvKyLvI/ufM2boP5GULOqQ70WR8Rt2cFbBPCA+cwx+6PcFjhZKG6YA/0EC
fiuKBAYZVWUWgJ5zqYwW/Ol/5sUCYJej2rD/lkgcpG3/yBy6SKN+lJTgTWWDjZjUUV0caOovJZEM
uqTN5kK/KlA9q2l8tMN0bfTT70UzMaV/HpkJluunN+Inweq6wAzYlhs4eH7dU5MGn2ICSIcr06Sn
kYQPC9+cu4s8ZqZW6iG01sFG2izLS3fqjnVacRM0EFKIM1sz0YWo02jpoW9M18Ndra4NNC0rxawW
nGHzNLQVZHMnou1d3CtRm91WvCEo0eyKe44mwQZ+4tR6TcxLj9sf4wXOCOdQw0138e3ABmtnniUW
jo+02ARWv6HSlV4Ha8Vr05GmTDwqjn1yRQfHVTOeIpGVazbEt2yobpR8PCuKeZaxyk03oAYH8Lkn
XZjHZY680NUYVjuIXXgkefrSVnW9vCakeAPI6NF1mg8moC9hPj03y5427Wx69im+MpvgYNl5vLFt
c2e5ARToiKQjo2nuSyvcxQ61TxZFB9YKX4ohSjd9rlYYygEQZuVYeQqqtFXGpmyjyflFy/PF159c
CgfL/pQRPw4curbSFwSa900bnmCDd6tSoyquuy2cCUbooYLPh+T4gUoNryPZO5Fu3ioTEthcEhNk
uy+uZEWKEKer4Re0nQAChIbfWQowiCpblqNfnYlltWqZJ6XvaBoLbEY1oxcNWaM+EF89MesZIi3e
pFp2RVp0soFktp1zcQrDIGTmL7Zuz+82GpiJgoPtvap2XxBE7TBk3ZTFPHnG3D7EFpTfkOTglSGz
23bo9ihxe68x1Dc1m2DiDNNDBvpoOxrzpQ68HbtK0hNy3Lxrmf6uDxkjFVhwZebuCavUmK8MW/xY
13nqeKNdWkfbmKn6suJtTqqnyG6jdW6Vd0w2ODhqO90NnbG1qRd1cnWwW5BhzCVGPh7JOr42RvVr
kRCrupkdRU5wvkYEqeqYUgNPekPlLsA+eao9bJAsLd6KZrzIMpNwtklbzsZ9I4z3AZpWbGqbfmZP
vYIK3j+kprE4QAZYTBCEl4EFuVNemuh7g0WrhplKLlt4p35lPnejpcoHsQnAyui5S65GPD89pI5W
EsY3eOWQanslN3EvDf3RgQbnKRiAzDjFbtH28RIQMjxbid36Y1idwlgN1i1RQpjJV5Foj1UCLVO2
APXk0xywWx1dWqlEJVu9PKUWt6xRpFdMCTDEKvs5w6wVhVFECTRhq+vjd2tAgJUMiUFOlnYTSWs7
AhpKmdwhs8QBY1VPQ+OTmLmHl0Wcu7KbLPt1TNSX2USwjn4cTlv2konbfmjxInUXVRmuMoXJUQHZ
eMNGPHKFZGtr+IMhdiC1No0WMYGaq35r2IncqBpuuLAXL4UgXWAsBy9QGoBwQ4UFubicyuG5KRNc
UZN4kFJ1TkCSRX23gDNCh1ZsR/aSlv1fj9GfnfzLU5TjAjIAz6FF0rygZ39UALZta4hgsqarAWnv
SmyDi/G2PO0TuVJei0f2TXucJ6vgwHSp85Ktsf/hgLv6/Vz4Mfn4593if94eSKSBmFE3afJ/fvsm
6Mxesbr5qrdfq2DvqpJm6EUp/y9fwJ+9j67iFoCAbAn10zXwg9DRlZxZbEnmKy0+RtBV6KLccE/m
y+rvf56fT7/ffx5+n5yBzB1s4uV+/nlqJCBmp0XqlWUeGgsUKysr8fj37yH+7DP78Yf55U06OvBW
B9J61W/aBzZFfr9T3x2PZqk85Vxjqxt8+qt8o+/uzzD7V+f+FG8eWj/wr5OLYbUDXXCUHv/QKzf8
z3/4++9P/0U9/XlNLfFFNvgKtgufuvUfftlZR/dSTKp2hen0zAjBV0/aY3ihoyxZd960unjWtuP6
XG+GnWmu8wOD62vceBvAuuvPb+VfJaL4263RbfzRNH+yNVq+6nsVuYzWND4f1L9MyBfjzw+jNVSA
um0YCwl6GZJ9qyIN9zcwOQiXDMAeizD5jyqSv+JF9IU0jidCUJz9I9XB8q39VEfirUDUyGt9Tutc
45cnAwmweUSaqnpJ7cr2NUcoZmkvZfiOIng26dcbqzjGDrvleHD141Dx5w3zG4tnaQcS3nLCm6zr
XiB3rtVJGbcAhJ6Kxtyic74xCh6vLLzZgD5rbJpW2Ygg104P0rTbxZqEtijsmLwUdwQ81WDj1Wxd
1+x11bh6RpcLm08/mBhsmX68zuCFtWR+0lGBrfNRgi4t8KYk9jolmaXtao6eYn4iAGdHQRWvRSqv
Rjt6TujYZqc8Av94Qqedr1JT/6pAyUME9JBqqITgNW/YfW9me76KXZik/GTbyk26NShOz4kZDRgB
hEQ7GPaSLTjaawZkhdjatbJp2p4ZSu481AMg20pO9n7uEEsNAdksKqVmMig7unHSVRg47jocfKUY
9zoezaGyboaqu5lk3txn5vSaVYw3rNq5CCP1EZLLwVHLfF2p4ylMKxN8v634ZlLsZK8knKjdQYh2
bxHDC2XVvJi0dwJ2X8Kgu58ck8WyoOSCG/uSqgxQsto4Zbb4MGxyEXGx3X8GvQyq6DEsBhvZhsj4
ht5iiTTtkhZdnjP4FRSWruV3FoYZJI0pTNjipGwWmrMcJQEOAUCHLQgO0OGyxJo+i0qV+9Jh2S5t
d0IkJUkiAD/WwPmMRdD7HIXSfc36euD4M3UJ008d89Vo4OJf53oJ1iMTWHsiDBjVMkXraoa2pfFW
RLhbiK/RPYPR3ErXS/5rUL1hbt+soBNrF7vwEkiKni/xpgKhhr200qTL3NhzxXzRsM9KhMFe6hWv
oTLZUaKnbBTPhTMOtAT9bdWlhLPh5qImNN+Tqv0KYvJjls20Ysn2EALuXqEHIhpnnOBf6YemUGKf
+ZXhC3OZ07I/NNx0J6LmmZ2j3BiKyHwzcJ6JJyZUWlg0GPbwjodzWBXZQBWYw5klCscBC+OGpyxU
zuFz1ntFSObLmLyLEYZZzvVSgCJP54NVFNukrK5RWEQ+DNX7aiGCWGW4zQCu0pSSN6pajwEG663J
nzja8BjO9XUcZOtJKO1xaJ8Lk8I0mJTyQAzzHHu81LhS0RSxCVLQzYJwVaKWEIyRCe+w7O2i+qbD
dr5PaVlmqzjPLO7guH/FWNGsM3Bo6qae0ubt33Plc2Wj/e25coiL8E/U7csXfTtWsJoKHtvkEZAg
oC3asz+OFZW9DAMIAznZUm3+capYv0ED5+SwHcIZF1vL99mEYSJgQBNnA5sybQir/2g2YS/V7I/D
CaISljAM3BLQOaCJI8v/sdqF2CxpbmzzjMjUaO51l7gWSFBTrnmA/Tt75SStHmMaTw1AeNZYb9Uh
uwbKtHZVI8u9Jh5lvJakxHAvO1aLpLRsUEzZvWGuOhNrHE+R4AJgA+BgWKdzel3m6SMo/BsWKy/j
oJNOYBjnyYI0LQoz5tBBnwNF9AugYGulq4XuodiI0C0r61FCZyiSlIdPiqfGaG8jLXiq3AI7Pmn3
NKhZlIfjQ4r6kzzTbt72iOKqEgmtDUy2JOS2OAllwlHOLD8WcbBBaTCgPWZyEYDd/qKjsg2BHcDY
ywP8p8UGBdnAKDHZ1YmyY5wsUbsVX1SDVJJMAZQ3i/w+DpU3/USw7QnurzciJFm72czmJwvutNq5
zqGbumCYk/lak9b90LePnMY+BN7aPf17I/4uC6Ko/utJoZ/9j1c2r+9/Elq4tDY/3IxEk7oqqiBG
Iz/TQAHuL/A21M7cVZ9u8T/WpwwJIaGj+VzmhIue6JuydHGhLEpQ8gwX68o/s5pgXPv1dnR4HVpP
bkSaJV7359uxDoOR3Oe+vVRF+TDg3dr0Ru0pzDZXdtI2V8ochLuCaciTKaCCuSa7OmmzwnNygDWt
0hcMzAHdpDNNuBqIRzTlttcg5lhXkPI2MxvZTR7P8YqpV7OWoiv9/2XvPJZjR66u+y7/HAp4M/gn
VShPFr2dIGjhEx4J4Om/lWy1k9SDnneEQiHpXrJFVhUyzz57r91EATQzyCT4yhdYfQg21uQneCC8
h6ATB2QDQdUcyHDPqY5MfDFbDY/b1fQUKWl/zOq7tlLoKS0N9oYefwgbpcPST1o5nCudAwuzjLHS
24yslcMap5baRUHv2tygJFULQPm5eIl688gOqzslCo03xsU2btxkzaEGpmxy3l2oo/u+xy7bTs68
Darpy63cL/zAWQgPBZ5cM14Gk/UszAor5FBUK558b+aY3CSA8w783/wIRHmVO6AzrNFba4lbsRrD
I7JhttwBbK92Dq0d4C22cQUGIuKEJbj25RbGZlINH1VR77jPfHqtvJVuHu9BiLKgHp14k8tlCbNU
czeDNl2BOAdlT49ISp/IqIpFGA8qeC4sD0VN7QjlbLtilAfL7V9LVUzSWFSUDDBZF1Va4uvzI1Q2
6V9PHXHgup8W4B1oHsFFwhZuUeu4iKjHpsu4TFUTiBB7KaZdmRL4adIsoDaOpZ6Vmw+ALFirqIWf
SbPBQv3Ay6J7qxqgdzDcD24RnzEq1cflZ20ICXuPY3gjM/3WIOiAiuTjcSTxssr19FElYWCysIm0
NNz3IAVx0rhUJzpVjz6iVddxBmrZZZlpuoTvNaytMms/hwHlm7WnPQh+xbBho2x6qp3007PKi0gj
0CzUzlS2QPs8bXiz1T41s60XzSxe0U9ptWHlOgc2hlMe3KZOjkZtZamN2mpqT9ss/nYWPHrZ4Qp2
uW7kXRpqueuz5S0X8c3t3t9gdnZXrloF13nsrLiZfxhsiZkGiQBNt0XSX8xskYlXvfboIajAwaph
2dWwb9bZO0/sn2fJDquJzMe4ZDWdtNF9xK4amyjdh2ZMsr1GmMzZaAs22xEbbletuosY7NtEUx/0
Av29Yx8u2+wc1y3nD22+vjdeScO+tdQKvYzSm5adOjeDNbeEYwyib3DlqWb3Hs/9o9KjY+GAbnKu
Enb0Frv6Wk9RtLv52Rl8f5fFGqNTinWNx1zNYaqBvlJ8mWgaAeqm7XOLR8AKxsvcMg8J9oFB+QhG
jrN1Y8lDrTwGvGGhQmnFLeikd2zbcFaUM2Fx/R2DgrUBhuJvoPZ1G7DFeIADjHHK25DVZXYQHj0Z
nbH1lQdCPXF5ShkVXu3xuiJCujKh320HzBOxTpbTwCmm8yvgmXRjze5lNgQfjvJd1J77gAGfVjMK
BizlzRhxAoeVesS1FBmMsX5nYuQolKPDVN6ODk5XYDjFviRABPqCQJhygri834YlvjN0+91TXpHY
9C9pe44olNC0LQuaW6zl8MiVx2Q2vXcz9fIN7am0DbFXn5UjpUxNW9nithDRv6kRje6yZsnWaWvc
C+VoGfBGftSJBqcTtwstxVQapU8yGa/aINmXjv+9oHFuejJycJp0uFn42ddp51Bax2KkfCoBksWX
i0n/XO+OamfunBy/vQ8IPUEF8pSLpHqtljTY1PZosbFdnlkUTytv7N7dnlF7GdprOy3OSWxcWU70
OnXDtzEMFG6K9lgs5iaPmXGG3rkZ6IobAg3yod5W/PzNxi+mC12DTtwOQl/BQtSRaod7a8IWGoGk
rrLHDD8DPlRfMYqW54BCga6ZH0tH3tQyu+b9wC9hGh7K3DgvDqkcXNAFplCIkh6qxBT0d8Kazwbt
KqyfT7Y+PQgzoCjUuXbjLqwD1rg+/2GyEy+k8ZOJy7E55NzUxEbdZ2uhwx/kGRvSjbGH8r9vs57J
sex47LiADl1rXlH9QQzLiIod+ePDsvj6QcvlQWRuwmWVKBpUOPMAyykNgyKj6NSqBRB7gBDUUBv0
UbAHMrHt/XMr+7mVqWzMX9/Kzm/1/xDd1Nf8eiHDj83alsp4Bppf6uJ/n47MfzGjEwZVKvWPfPab
6Ob/iwiQScv8vw3ZbEJ/v5Ah0almJAR0/ccF9zeiPsSP//NC5imgia0SRQFHlqUubH9QbtumK1EL
zOWqVk8XJBKgdwFaTe3MD0bW7CIVrsAPE0b18K4P0Wuqytr0yaY2MirCJtceKJAPdWe+dBa2Mk6P
Ch0VPVvK9MpNi+0c+fQuUeKeGoMJ9VrfYbi8lBb8irLa+XGwHzLzCs3NXvkuI0Ubs+whL3HnOtWw
7S3jS3PFiQkJx/Nox5eemyvGTY6c0Dib2exh62r6rqTBQMe3vK5N/9GrrevOLK4ckkuroRXYja2x
eMxJeEZTThucE9wUWXwXy3wtcMxjuM64vRTgA+feJlMaZzRiDvWb6PnnzM64WzQggxYVbIRf9vQ7
cYMiXQetnI1cT5UjANu4Pg56nG+okOExgYEwBEW0TunYDZriHbtpqCbRVT1yD/rp461AOE7MbfC+
ky37sn0rBMuwPuCyymdZtfqa1PtaekHPL4W/kWr+9ZXxI8q9C6lagQPp3jWqJ3j2aQzWBCHbOKBF
2KdOWKheYS6f7spRXcNkvc4u5cOWaiHuqCPuYv8+U/3EqWbtbQqLddVcXFJGxKCAD0S1GnPTnBQe
nQwyjceN6j6eVQuyNzkHwrpTaMf1LdGk/aQakxOSyOt4oUW5Un3Krhzx8quO5Zru0VR0w2ZJ6F9u
osJeOVQyt4ZgGdgoO7rqaw5Uc/NChXPi+LR+qFZnrTf07ciuMl8Vs1my+IsE4WLN2ce+LtdS8/ND
7QOXU/69EesoVSpeBjWRuWHPLrrCeSl97Wi4yWdMCeHGj/LgCPgh5exsD1B97jsdUUnvzb2tMXBw
lm66ZHA2o4/aOorqJPxWOQ6/K3w1XEIlGbbxue5mb+Uu6eNgNoCe8Cusx6gGNu/rG4zXF4OYLspS
t9etn90svT+SEKNrTDqXQl3kIu2xZ826tqVyIJIRcmOan7lUDtAanJToWWfnFT0t3S7zzAtqUfHk
Bf3rQgELHT8PATvgVelEh9hsnB1B0XKdGYSr26zqtmki3gI9p+YPPaGIceIHwaUogn3vUDGLQeIz
jdKHSpspu9ZivNmm/mml9ePIdlqLC9Buvmm8YZLYaIb2gts1gWkP12mi0gAWbn7j5vZrX4+nzvA+
vaU7zU59Xgz7hJ8SExEF7FNVmZeCftVCb+hB99yThZuNSCoZejO55VLDAJfOr6Z3n2sbe/ZPdZpu
AzB+3L1TbBS1RnG9x840L2781NPWSLF4wjBhuUO0FtpynTgkcF2rR3WNwpLUg6a5+6UDu9lHWUNS
G6h+S1FukQSXeAwP3phDEWXasnnVTQnVy5viXV4ur4E79ltEb4rK941D4KnQ6O+FRnQxyOUQ1Om7
6dQ6ZG8j9EsZkGXM7vrCeQ9aYFZ0o3PgNt4jQEyxNsqID3HFPGglPdE/noWrQI0tnTDn8hcm1T+L
Lh1N4K9P3C3IRfG/RBC+6tczFy4eKDiitcggHpof+shviy54GwQC0Dlcnb+hODu/iiDev/jvHLi/
VEv/6CO/nrkOyDxAG+y5TDxImND/zqKLg/8/z1xOWvg7DpWEDstSS2mWfzhz8xKm6tRH3pl4yDHu
m1Fc9tKc3XVWjjVinlDCni87JL4fta8KElya1Y8K2GfJy4QuWCbNHCadyNcSzZAyiRBrA2YPJSdW
OHBXVZC9W0QVuRojOs5a14Ricc5wkykkLLSXCoUSSvCTHCojv+nB9N5BcN0H7AGER2UgzXCo96l2
ziPhS+A2DURaLX6Z6z65jvicutdJMXvXjvDxr9hEiHiMQeeoQicqdXHvepq1jZgM5KbDltpfNVqX
8MBk9MUqn8unHC0WJnJe7dMkyzBD6u2lzOyjHJxbJ7ZnMJfiUV+K+8EG9Fkl9YepcB9uMtBzgk22
7TMmCOs9EdmChdg+u4MJwWN6HJLUWVtIMNqohVrJpTtWlAu7rvkIz5hEqUGyN4adPAFV8LHe5HAH
nLvcl1dZVpO+0tJPM/Duy8HmTMzSTVfyS3H8/sazOMBjKBN7rKtgPOM6f52tmMlUpnt9wfbSKPdS
Wfj3TWGYW/rmBKSCXltNmblPqJAV49iGcLkOVmLhbS4TDxarR4xXz8XGzHhc0nWLi9+8iZR9k50o
DBDb3BOGNgBp5HIdzJN5IKuL72rQP/UqCP2hK9da5EQQJLpdKYK3OKlObuCdOotgWOoDfKWdCr48
3NMg6bZTpH1ieN0W+nSgp/Yct7htQT6HdUvnYSlUW0lUf/cVZhc3JeM7aOWHTIKJ0hTxzFuafq4A
9pCrxDbeXjc2fmlcxdW5dzKNQzK6LgKcaXGF0J0Yt1FNKwQNYgn3xtZZA3Hu1rzfwsSpnrn8kQaI
+2PPK9h3w9ZpknQ3OaSOXb2pNouwD+VIErxxnoyuP3Oju896yjFTvXss4+Q2sZMUNsWwM2JVzuDS
Azgm7e3sRfcwa2+WZuAjYtAsMxuSAECasghso+sBJP9cRBqNO9pH22hgmGwS2rPDWLgYQbGWA+06
sdPRwKPboWHPy7GqvatsrgA2stJc14Ow1iXN5Bjs5QVXn8+Ci1o6+BQTd+mlm9UU8+jeaa5g1er0
RVBC3KwNPgChbWQw7Gu5nYP+ivva80g2ZI2wT8RiLt11Mljf9PEtK6T922Gp1/3gkcprSL1700Lx
HaWTfT4+mHIRe83m3RkpEaUr0i+uSQvjqPfsSOeOdc10GCsW0EVrHhBmrRDaFSXvGpgQG9+dXtr2
VjbZVRq7tDTnt2UxnuOE97ZMOH9llm/SMiBZLZqtW6DgSfzqhAjYODbCvWcuGDlr9e/ItF9Zl3ww
X6iWNibrmHt5pJlfdqc9dpkXrMuyfCyBO27MYLib6cPcpW75Us32ydEqrtgqtdbZR8+e3BtLdRwS
j9RBXyXNuyVFSPUprC6wlCxdmktXU9v7HD1zXN5by3xp/MDaBzq31Trwrpdh5PZGLjy0W3awYJnE
Kkjmj2im5EP3+rtE9EBta70gTUAB6eDllBYk1mvt2nd9qZrSEx84zBDJsB1w5WV1zdIo1c8jgJgN
RrmvcSG0Ihy0nMwcw5Fi0X2ei4BOaxuaGj13q1JHIwVNjZmbT7LRUeqsR9I5pxNJ7rFrJlykZhJa
ZnMrBZLB7IMFMpaRuAwXa8tPt31szWFKjp2geFJfko8/zGX0WgpaBUvNhprpEUKZLN6tdZt9uJ5A
94yyZeOIaBvb1rx3WcAcqtre5jCEwsRzi63vI7XyPFx2ImteW9/ZilYDKxztKkSym0RLXdAFabCa
O6lT71YGWzAL5C6dObpxhVlvvcY4QCy8yLwU8FGZ+TuU6TiUYPLX0TjT4zoMn3mjZ9uk7q0j91sY
RSBfSNrFYp8IsTwssuS1kbO2dUA8rTTktFVsQjdx+vFggWFckcEi6OiMp7gIjlGwnOjMI0JvoChG
+XLTlhFree/O1zz3gokD0+AAUAnF7boeknthsirLF6PYQlVjBEy0dp1Z/YfbUC1Gka2/m3w8wbMR
9/SqLBP1psl1n2JhjhY9zAlw7ep6ORFYvogKKyREcD3SR7WxaIYlu4vAnXrtOXCyDx8GVtFFrAC8
AGHY1RyaN5xjZfnzhoYmnHwL5Xi6Lh+NIX+rcu26aNO7nGFkrWNc22St4a5au/4qyIPGjAyMvDZp
5pSazgEoOu20+kudoneOQ3qOggE+k6GPoWxaqkajnPmEdHQ2ZfFjkxQhSJcXF/kSwEO+8YryG4r8
i2NpxGj6c/1jMO3Lj8gxg40R4PYE7PpIbQb26RT7qEnz5KLXeqgV6SUZoYiegPxUtNxEbM5Uh1jC
mo6iL1IwQKOjC5/+2p2ezkdivIHSAlaZI57KuT1Pgoofdy4pECHFxQt6JEV1ooHlU6v9bzkh2Lrs
LESj7aMu+8JPve2Gqt91Xr3pav5UVtqjnukXS3wqM9TBwQNXlL8FQ/aedDx8R6rhstY70AOg3jV+
vO7c9sgEgFaa8/KUaON4Jk7Twvs5jUyEaBPDCeaNFc7yuzSL+cs8wGl8vEjbwljZtCkCAmPy5Ob2
yg3skE7VtuGmgw3YPS4O7pehRtNo/FUUyCfD4pvXE902UXbK2RPtrLL/sAGbxV5EBBh0kO6V4JPE
o2Fx4AUixgRh0NjmW2fMug+tZGNM4i1da3VzXafBBUUoGNPBeg0a2WYvc2jotMsdMHGUYGqfXYPw
FXoetCEK6Lc0ILBtWfBMQ127K8eGH80XBNq5d9J5k1LXRpxEMPF4VnKUc/adGE66jaV/NRvZrlp2
HZES09+1swiN6cLX8vukoE6Vgb9ckyzYZdlYr2aPi4y1vFu+JMkTv/suJcnmQB450qm0rps3xj0g
76bMHA7isT3x8bmPFfcFxfTRqD24GlTOde3G31txsTepXRjpKI18q74RPyQZXaQuvCfAsdpTMlaV
DlpDdO0RG7VU5cxy9MdtVYzafDPz6gjdSbXQjjDkxjTopqEf5MdKortPAJlXqLy7JYiR0Cttq3kZ
WIFck9vUrkK7zIcwGqtnwObLRvgj9NQ5NjYFUWirFXeS+uItBtnvJmuf7JQIXMnFS4vSfktG6JB4
9hsg5ms6ZklDezikkpThm3tXt85zm+I9ORrUX1PdA8SRe6HOwdZxpPH6qdeOu/kQzGg0yUXTGvaq
qO1w6r3z2KdgN70LiL/korrszcCvROfMhbHM3G6q+p2zhbINSqfox33o0tQ+9oP+tUSjIKmHfWge
/b09Dtcg9nANJeTGGSVQxhIZopl8tjQ2Wzhq1nROLNuGxiA6O2/NfNyIHhqeU1Zyz3P3IgAl7c0O
h53Tdfth5BOdmfwDHYo9c7voVp2BE75bXDA22a42ue0GRv6aN3jckqu8ptzQmVdysg5OS8FD4I9n
Gqbp7677q9LJPqkNwYVqwBSc03MV62cnmLeFGM+2SZyrXGlLE7atFh/Jbz7lMj70SfrSe/1DHVR4
fxZ947e7yfXuMJoDKSnPc2O+pqRNg07jyVjGh2X2lkM2FIgl2UOixHSPu+AmIQV34qnwapfV+FQu
I/ycJjtNSQ6+kDpX6vqWSzlSlN24xnM96ljB8xspxVte+3AKoe+SwHopnOoitZKnUrJ1/EdC/5HQ
1fz91wP9XSWq8n+I6Oqrfh3oEdGxEGENxbn6b6X8t4GeaBQuNx+YLQ4frKi/D/SI6NTVkUHwDIC8
KPB/FNGRBnjO20p/Z7b/Wx4jvN5/GuhxBOg2+GgbkCE+WdSF/zAZ5aIGp8FpdUW9X5twp4FsaVnu
8NGygBltkj+6koa0CJEoM4LHqIcvECkBCQvUe18Wd56SlhAfQjqTEJtQnQZNP3SoULmSo1olTKXN
SGgPtSq3jFep9KtOKVll0xy4f1Erk14xah5KJC/6O1eG0sAGpYaNM2WbXufvBULZIrXQQzjrpUur
EFJarjS1IpW3ptW/0CPNMyIXN3OuGasKIU5TilyktLkGkS6OoKxkzwDYX6WS8TInu+2UsMciAf3L
OZVK8ssWsZuVCKjXtlrh2ivgQacFnXAUw8nvos86kKfUpDlPCYq2khZjEV1KJTbGpvYiUR/xJRpv
LePWSqJMLl37mKJUxh63AVlbDSJG8TChZpIn4AdB38xz/3JWgqfBzxChgJLEeKM6sNuOUZ5upJJJ
EyWYCpTTSEmorU/3LJpqN8jXUomsOWrr5De7/kd+LUsBO4YlL8osptarXEm1DprtoMTbeQkeMzfY
EpfkwZHsdCXzdui9Qgm/IwqwjxIslSQs0YbThDDvqOTihnxzowTkPO+fHRRlqYjBtKl8V2jNRP1i
wqDxOWCyDQV6tOzAwxgo1F3Efr1DszbRrnUlYjMyBEfpDvXGROEWsXcXR/NuyOW0KavyOFemsRos
7Qsas/JKbt2sf+J/24sKk4g9+v6mMlMYkFl/zalTXARTee9eIAgxw3h0RyOQhYkVJaE3dN8Yn/fU
j+7ckQrsfmjjLX8RF0KzqauBuvOcpOyodXfG2O7gLL/Ys7HjFI5XKPSnnxmwryhOEKK8GbIEFEuX
b+0eehqn2GbmNF2RcfRxULc4tTlqshKAD6H7nRlXp9yxt0WgRuKgvbFzecwSFqZJO5+RmHa6HZ36
BV1CQy6ePwistU/MeFaYxEHpY0kV3q1Z6z7dTD4q1o2OFfy2m1WjtcFCtLf0bY5dhrVN9J3H01dE
ocU6gSMn9MY7emJ65Hb53udDQ9tcdePFwU5L8hujZq/il6hNbhDWk8eM4Y1hWugk45z+bFiFzQ9X
bxrPQ4KZsn3VT/YmiWw8A4W3rDMycTQOl2FfTVvLnd8m1wzpkXwlqItsPz/wQsN6z7TDnGoXokl2
Sa6BAGUaU5uWrAgDLdpnJSt7XzAJ+tzW7AX5qH8i9YW+MsehWU4E+nzyUml24aVNjnJgKv7ATrIa
KuuSF+Sxx+w3T8N28PEelwMrIfJyuYC7WnZhkgbPJW19q65NLsaaLOPSpEyFpTuslpz2oEY/46P+
6KTNh4CRfeISn9tcZev50gYJAQybsAf63smUktdWKQPDfujaj6Edr7LJD7vMvtfTGLl8bi8W8K8r
G0O9nbME0XH1NJPqnMz1O2eIvhpXFQSO5aEPYn/deeMe78xEhS6FXBYXbn0ZSURz+08dfwUDe53Y
w6X0xIkxlv0WVTV27L8UFrBgJP+BvWNL+VbgDdepOz7pZn2I7Gnrjrq3yTM4wMkkNFbv1a0FjYqW
zvbK1rGnx9m+4AEI2vAcuct9o4zvZq9ku2PbAMJpuPlN3OKozdi6bruxNONQVd0YdgQNeQpbXCj7
ky4g+WAnQ9ajTaLW34uoM1e9ObxaKYQ2SY7jYHjxtYIg1XF8Yyz+ReBj8FkWLcW0Jo+6S1itklzP
6phwAha1gxU72EiT6doqtC0FI9dm4H9b5rIVZR12br/poBVtsXoKNmj91dzX173nP0zpQBDRcUhS
lk6wQbIsnnMrmsO4Hr+zbjglk/5YDAKvfHWRBHSIDW2KPGWGZtp+O/G8GQajPifTtG2y5SE3THKE
IywHLDQdKmGrUcsd68EL+KWnqZlOskygWg2lt2amWWPhP1HPsk4m5wquw8nuex7j9nyImoCNmBE1
s713uy5/HOnAzENDE8YWRpRc+5O/KfT0YDpq1yhLCpar5BMHCdGjEX5X1xpvwbJcGW1pUY3ixbhj
jO3U4oKILEAZPSSXoM8v+5TBaZgnSCtV+lRl5nUFd8LOAeONFVSHpPsgRBP2enAE0XjVudNhMXl+
tR54FeGIh2nWHhkJ6VHCYC+FFdZFyig2y6sxd5e1vfh3iyAtW0D8ukG/pj+18LK9LXSkAwgCTA3M
iskvdQ1/HZz+7x2/Swu8ztLBoEjRVHekP+4busZHviRSfWXclatnmJjXOGlW5Tp4u7/tLqsj7ab0
mKQXzk6Gyb7aJkcn3kNx3P1zwf254Br8Qv/6gnvxln9xlRV92s+Hz////37Bwaqv+dP1Vid1BDOP
18n6YzDL+heOeqzwrJCV/5Y/+nVfRcOTT7aRzBR/yBWWb/jrvopeKNfDG4LN17UY1P9WMOt/8OGV
ex8fvY9RBfPuf0YcsbcZFuxRLkBjEZ8gWDbR3TTlotm7ZprvpM3efVYbeBhhNP4UxcFuEcgdtafP
o7I6lGp3L6Va42cFNPCJosKV7anaeeQX38HxIbOUNE8sjho4m0sPSgwIVH3rlvgYY9YMweJ/OZyX
jOvsumBqLuXaTWLKh+Upg9Sl/SC7FLyLoPnBVDivQoG9OoX4ksgdBcyvxap3EgZYo2BgusKC0fJH
YTSksH4xzkEXfLH6gv3nX0GdP5g+QpGv7TRIY5pCjomoOjUwyFoFI4Ot91z0MWVPyV1pOg9xCraM
nu5kZSuUmQHTDIHvANFmk+nRCyrt26DgZ/MI5jlXQDT2YWDGbE/FeKD3tCglHvy0RoHU8tY8UWp/
blAmkILiywbmWgt7rcfsSWQenmcPG7+SZKui+lgqYFtZ9XsHghsVxEzlIN2CBbp1jrSBIcYILW8+
LvDf/FbhcADCcYM6DAoR1yhYXDATYFD4uFqB5DKIcqZsXnIIc1DUqrVjtcs2numvjOvkA3x1u55r
0HTCmHcYo4+FgtaV0OtETSxKKqAdbXA0JSf2xmq/B4W8cxX8Looh6YFRCpGpvjUFyKOc56pRyLxF
wfNGKHq+wulpcPUwM98URNqDsR25sJJgUwg+R7GHJoXlm8Vy9OH0eQ7Avkyh+wwYfjaRIFaIrxQL
3DS+dj+2xousUZVb6H9QG9jgSMqS4AqcS2/e5woV2NoKGgg9cFIYQc1wOInqeJuZwwd4XAmJ3dri
IviYyUFWSI/K2pq63fsIeuNichxKVMqBmawnKVyEtG3bO35+1mmzMYkVlO6B5UDZcu3vfY/FWsnT
IORhLShtivjiXP3GF4Emm0ZEdXmcbAMNbXUV5ZAlCYAk+3nUrxY+DDezn3m7XPPxJdrQkQiZHC0r
s7jYwKBp+JolrbWrLI4tnDp6tbF4t61ap7FoSzVmfWNb6XQoPQ1uVFOlR9+flp03OnKDCtyv5oRF
mU7PmUQq9vX4iukSeL9pXFqg+lfYKW7mjkO0K7Jz43LTMo0n6TvzXWto+Qu0X3TIBs+iZVCrErWY
bnrekK1r5Qhu8WrkYIeQxChl0aW58rmV70oTnqQnAA8YchjPbKUwQlVkArT5MjdZiQRA1XFNofAX
2OWZWd7bQdsZLEpXIyR74Q4WV0b/qJFjPRpx4YdVnQEa9EWLzaTBb8QSezPEIzdLFXERiYdYDtZ3
q9UFe9Z+0T8aw3zOypLmNEibG9lKfycW2Ap5Xji7qmQ87Gjn3Y15U2GUU69v5JakDKNTwwhSSHmG
E5StJUQSKMc3ieSn1jWHnojqZDDGpGqeqX4mG0YcS806k5p6LH/gFeIegcC9Zb8/b0tGpMRJbYIN
bM7YNp58NUeReN2lDFZorLuBQWtRE1dRYI9OQBkIhrFOTWXzgNGF/cQuquu9y+AWqwnOUbMcdmc+
sEx35qXPqFf+zHzJeC3UFFjZGG9LNRnGuOkdRkVCSyA76hMs569JzZIFQyVtdNMmNqadx7LsnxvC
zw1Bx+Lx1zeEXfElxH9fEdQX/XZFMBCzOP6pjgLq+2NO+U0BM/8VWL7NvwjMEeEmSvf7FYGdLmbR
X4M9f0jZkd32lSGVf4NbQDjv71hauKr8SQGjQkaJc7rL9/RBNKpv96crpuCBYE6DH1yZPOJQhYyl
3rU/FFdLE4m5cRIo76/cJNob64f5Wir864Ix082Ci1YAva7L/J2P1nFmXzaaPe9j28bOXFvFpIi3
y0FMVrMZxuAGp8Y3navp2mt9NkLmTqMQNe5S1vXE9yhK9SlMnWptr6XFu9NSrqiq3uNM3uSqY9Xt
2xDLw54b817H8UGVsFzT06thwp53kI7OJktAxCa2UKrDddDn/YyoQfmh8Z6V9FI3o3Nofe+5pgB2
aeUHK4FLGLwFUD14ti8BkD2q7snYOtVXO/thrhpls4BuWcijzdWCIx/QiFibo7Gn9eo0qkZaqbpp
c0trN7Xqq9UtAJGD0OiNrJYnTDOXvmq4lcQVV61qvTVxxSQ2ndLYUretasY12tgjAGy8+ZTmEowa
w8aGJmlQqFtSrDtkGYvv6mpSjbtaGTnbUrXw0jp+AIHIbSEFpWjAbAl1aY+05tLfW6smX+wfXLYo
962z+aZ0cqBo9KxASv2cSwLnOgMsq5aIRA+cEyue36A4c94Yxndv4r2kTlj280Wm+oUj1TQ8/nQO
q/bhSvUQEwXGIEM18UJFcakJ+czrSS7/dSndSzvt1lR3UG2bMepGd7Kj67gFBt2FoE2a5EIzxcAm
J83JjNcF9QIUbMC1bM5T7HiHovNtBE3kudT3Ad0AiA4uTU9LjnRdjjsT+f/A76XmTCTnv0siP7iL
aPkN1sXPud1UOGJGdZjXrWMXTG4c8cZccWB7ojUvvKIY6ERASNAWEMX/PA5/GZhAO/z14xAoNm3g
n/1/PxENvu63J6L1L2XiswBAuQHUEZ44vz0RaeADx0K7hm4pCDnC/7+fiIDPbHx3WLotiDCMT78P
TfYPHcNkzfCbNfBvGOv5Pn+KHds+7v0gYLDGVk8M8z8sfv1Ao7NXOfJ60I9xBqf5tup+Gaf/cqz/
Baz2e7aZn4IAAOajgFmPSj9+3j8/dA3CLMhyXX1tSfBjHRegDuBQYpnCuk50VCiFx5rym6VKXf+c
JIn3zBPCzG9oIpjXiV5O5tF063U3VYcmmS7I5W9ci4RyauCJoTFunovryNHCokKB7AKqqqu7Xsfl
PyfAJhvvdkq7fTRDu0hQGan7M0LHbo5aLa9wZr8Xc/6mUSY/1PWBUu1nAn1stNPkKu67jW8WBy+h
vdKY2m/W+zu0EhkWPLF2aWMPaw300ap35L4ZWbMOHkMMBl2rW/PjPceuftAJSnOFrI/NJL6Kjrkr
AjFJ+O4rqmnm8cu6p2908ldN124hcl9EvSdDLoQkgKQCIHj6+9SJIwSHEn+XuB+N+BiZ5kM78ek2
0/4pL+dunczyA7blcbZbga5VX4pkkmHQeFbopJGzjqr2rk3xhnt21W/i2bqEjErytLNuCgmVfBmH
Zy2ztgsbmw3nN9XzZv+deQ0GpJR+C6+prkVlnzzZ2sSemnRV5A0cVp2YBfaZeD1lg9iktUmMbAT8
YdfLk8FMbfFyrqpBu3WkhqxpFveyDOg68vMXrWntlSnrQ2D02bnopbEm93jsNOgMusFl2PDji7j/
sLJqGwzYI0pprlnCYFIoxFO0jPY6avC/V7FxbH0KdvsRHqzn/B9757EcN7J221e5L4AOmISbli8W
TdGIFDVBUBQJ75FIAE9/V0q/+lBtzome96gjWkFWkURlfmbvtV+bFLebmruT9MVr0JfJJsjS96Bk
gxyLYNm0Q/iAqfVd4Cg32/QtbRkDkFp4SGzSFK0pWNekrYx2/9XKMnPdCZSRkPKORZojimOzBc0S
jbZDTy76QW2FYYZrt5JnnFyfxliSal8MgL6TTss370nbgNjpx3INjHVbCMLHR27ARZ/OYZDd23TV
eOD0HHZ8yk2W1unsvWdZ+MW1mCwnCmSXQ+AJJI8kv6pKgJ5xljZrzpVP8dzeQ3FtLpLcuYlBqTIT
TBQP6/QFUi9Pj2oJ3VL8PsBWPONLAN/G/T1m1ZuwlLcbO/NTHhes6ulcJtYSePkGJFzG+2AEz0YA
JdaD7+E7FsJcwkfCZeuTk2BvB2fOj8138JcSXRvB6GQ6DEGwfXBjBV8W+T0ityL/lMPPPrrLlJ09
Rz20rc0d1LyVOJrTvIH6WTffSPGh2UGnhScOQVmuSDno0uxJiIFEejAcvfdIAzoRNjJnl2WNZMMw
7jqZhbrSKFpi70siA0ai3Ax/qjdd2NTrvnDdFaqmdcw4ZaqdK3rQklqMQYnfrxs+mzo47Lqv/c9J
4L6l5tRCRkANIRZrVxbNekzmE+XsizHJkxpSUtnkcywBBXPm3HWVtSXL7K62nKOyjLt59jeeET/a
uffcM1+qLfMUqvgMies8l8nV0g87IDfrKJy/oVcokGVkm7wf8i2x9+ucjDG/74g4QejWNeO1D726
a+mAHPzMCIUVQumJuLPAYClhMAvvHku4O9CR+7d+SHZ2Oz0Z/ZsreRJHz985IvPBqsK4Z1kRKYrY
TM6GsTXJwXn043Hat21nr7OYSDk3aIbmOneA4taCuLKl3fpjFZvrIuPcWuW1aGZsHIuzH+a6WwcF
dVnglI952++6QX1WqnjsW+MZ57JzS7j5cubCa3dd0b60tnVMOufbFAU37UKsM/DxTVUi5ALMYm1Y
FQdrIyvSXbmU4YMog/kqLpP7NI6/Irg11iqXxalDK0GxOcB7q5Basnx9rmz+iip5SNM624SOcSHH
/rNkpoLSzil3kWb4Nby/1Zhy96zDnDNAGoW36WWz3BgDwxYvQ7U4z6Haxl2NkqQTPVFDvdyIwS8P
fJqDTVsMG+GN42G0BrVHnFUTClLPe1WZCdVeE+qRH7qoInUPqgitA7XsmczDu14kWp+xz0ZdoBrR
a1ojo14864FS+3NnTfex23lH+Jqf6xAzCLFD0f/IAqd4+HCzf790kRSgLPDodRiy/uFm9wqJw8xu
5blmSOBZN0C8Pd61q5fh/4v79msVoV+LTs8D2QXe1cd/oLuuD0aBvq+ngRW/OgcRMOHHdt4lxuOH
0ur8o1r4iOP7Xy+h//3DS5CyUhRKFuqMhGE9A1pIxi+i+dHX/22p8pcvEtJo+tRWlq2rro8v0id5
PmWVUmenY1F2ORnXxnj87z/Hn/8s/Ko+vITegXz4OQZEjLElJnUWwX3Z7hbidqlCKv8lm//HK2lE
xa9V16+vpN/Jh1cqktFFK8AP0zLfsSrU2vaFZLw9bsfyYoH09N9/sF+XNz+eAUaILtGxjIQwtfz6
csSWTUs3WIoO6LMF9dv3HuLkNJf/9hr/t2hhZfL3vcaxbN669KX4i16Dr/vZa1g0FCxYIA//mLDw
OfzZa1jeb0TFWT6Hwfcs3g8LGhoU2EMmxT9f+D154vcFDc5fi1wkEFh0CciN/5GhCIPSL48kix6Q
ea5to663GcHAgf71GfGTtqsmo52vJqchBpRNOZDhxodi/G4uCw5XzDLmwO3uYEhYDrWX53hUoynj
BPNEfhfZyAQDfPuHzhr9eeV49mtsommsw+gFZPI9uXXlmYw+VvGLZ+8c14qpd02Wh573njQAz/MS
MptV9ekO9TfZOT25qrh4feLmLPdyQap3NKpioNxHJj+vJw/TUJbF5ByALOQ2CS+xbuQnvPDVpm/U
vAPS3KwGLKerosTyCv0YMwrGqWsxzhe5m14G9RCdyrTIkW6wWGL9YLPvtyGGwdqdd1PoI64fuIZb
ary1RToG0gpuxDaQ0HGF8VxwejfeVF34iXzAIWpS7CARRYrarGP28ddd5r2qiou+JQtjX7vZ+5Jl
X9Cb4pQWo1UeVUSYUSOy+RMy62jDfPoqJrvoKJPsbYgX+5myFwsKpqjd6BXtxu8LABJMD0gHCqvw
BJDC2nrKNC5EM5mXbloN+xQy8irupHfZ+f5tQMLrPZ3QUSXzg9EQEFcLYH9mgAjFQy8PzZk0IpRx
lKd0cUgntJJZMaNCwHVpJehy/LlL3OexifH6mA7Aw2i2hn1cfs99X1hRdDcJf7vRxv51NVvU7CS7
WWxp1hnfCcdxiEagCcIWwxOTE/cIV9B+MGxZsHEf8+WiG6vwJgVc0WI3DtDkhvwSopsQeS7y2Dx8
H60wv7RxKllxudxDaGMx8P1D+68Z0mGs8fen1/3La/dSslr+C0Ok/sqf55dt/WZSr/i/L4v/c37x
T2gnmd7+XCP/PitxSM5xID4xyeA/iCW5ef6zYP6R70Z+KWsKZs//ZHps/5n8CQfO1+8OLhQw+j/i
Y+n3KjIdJnUzsR1eC5k2O2QQ2Va3PqU/DTvCJlET4wobn1VWnhoWdnuPQ47khzRdRzNQDVyK1l0c
e1ss7USUzBUBVtgXT+awvLiRvVyHcnhDaddv/SzXo8Lo3pGGd1WNJHLPUKh2Dca+a6qxbRYnjwO+
RYUsfZeGwUUJukl01ns+zY8qIX1G5Cwsuw3s4UOIe5GAiZJNbuk0m6zgaFxmp9hMpug5R8ijYV7+
lvnik/KML/lovKEW5CzAO7Ge1Izdsi6/tSVg8dw0QGyPEoMach+lz+gx9L7OCcw1aM7WuiD2Bh/I
kG4gID4mZX1re/HWq9FU+zMzk1YOI1X3XsYAtY9e49y1vXfFwP1t4RSbq7NnNQq3QH5NjPSOzvGp
xDQQ2dFrUrkPI1lgKzN7n2OC+NLCvg26eV4FEtH1GPc4xgebaIyBLLAiKXbTUExIGaF3dR7uA/xe
G+Yr4tAHJiibghbdrMDrLTVB8WUKB6uPsnBrDATwiSE+5EC+V6Xh7CUZNncu4PTNZIO0ymb6QCuF
ze7WhnNFq5ayFFc08nh/LsAwMEibipUwanMvp/4I4ToFzc62FKWZe5C0gfljFWvQjK2ZM1mv8TPF
dxRNQeTy5HioeUDebSuANUyNDhMAm2TQQPzvuRbD94yLzl3Sb2VREycQWmhLU2FFO7fnxvBNIt/7
JZSkbczVrhEKBPNip58ADTx2QMPQ2Ydf8pSlhTviF1EiszdGI1kXz8FDWMHEKl2myZHcFxiUuHGt
T4aMrI3EL7adIqSzoyLnlcjsltbVrm567a0x+V06LAGmZK4feAIAXQifdXhbTOdqRmEVSNUwfBm/
9qgOTj5bU6BAyRshgRMuEpa+aWhdG2TbguaQDMIN3CV+OMhDJ6PuYHdecd96bXEz1n71kNvzsGlA
awFVaB7qALnw4AELk8uAmdY9TB4LeAnYCsWjxHNfzzdqCKM1iEU0THkdbt3UVqeBKmg3sya9GGYE
9VGzbhP1yOyDGQsdJ77PJtvEAmeDPQnjaBghgNgMSUNFFPYmDYaK+Ls6f80dtz8UUqEQAEibq2Q6
jFAVtt0QLixJwSJgT2PlqhwrukxiJ7gKxvm693xSFgoDzHmN/xNzdbebzGDaDHhLrowAUXRPqQSD
d1q2/95H3yf3NqXl399HV2j5/1xJ66/5eRNZ/m+BY3PQo8ynq9HLyt8r6fA3BGrcAK7l0SW6NEI/
95jcRJajpU5CAL75buj/eRP53yvzAEc9zn2+zPsnNxGiqj9U0uwGAmwEFnsAj/2f/4eRer+guJCu
9K5jp1ouW7K2GxbjQdKKjTHF47KQXyVxOxnorQssppFfXxFIBdpEsjxcJYNrFleBTM0Sj3TMa+BL
g0UttiheyT7ekn2BMc5ZlMvpqYZMxhjwS6PZLGbMHBoBuhE2x57LhlHuSLQDUmm4WH5i1PHOd5nc
yKl6sk2ZruE4HobKxwzWcyu0OtiiS9ECyNjod5E0H7LKvuoqr9gC99xEs3lXzWisLIspOTn0p6Yu
T1UbXVpqepx7ZBxEU0QEFGE4a44kqQK+iZFXpF6WYnDCu15MPombAVs8zNPoOCbWkn54xo0o4b85
+NF75qIoO2CVUGxj8bzgHvtm60zkVI6fh8l14NwVFO2mu2Hec0YKO++UN8Ivkxyo0dgOpKos0yYf
vAIZE0LZ2e1cNCL21nTlvCGEqSXnc/xmiIngBzJHpcY8lpH1beKkWEu332XA1lKX8SRl82UWsOHU
OiTpct1mrbrsZS5BxBF0vNTOvSGgBfvSxlQaEcGKXzHqouYoEOATt1FfZ3Z917ZqHfnNKUXCmTDH
wBNAG+O3pIYVXwXJXqDaxg0a8tVY5ABaWThSbV+IqNx2DUA+PKUoYoYpW3VFnZOZ4uNKcxgGG8xD
Qc5llwi2sK/HT7KqsjWnZ7oHlJeCQI7Pk49/VSA8ttrhYpQj9gGze4prZg9L7p7m2bof4mnrTQSl
Z4SO5FV2F1fjZepiW/VTbJZgaraROxerRiAW7/IoWZtTeDbd2t8GrfNWF1Z/sBqAsm5VX7sWPUjC
qK9y8k++6z2WWYsPpL0xEtJx/BDtuCBxjmFltsuK8hHXL5BsdDmm82w2st5gW+QCK+6n3D1WcQs1
M0rYDwWJu577bORBt5NT03To0UISeROlniocNYSRDk9TpB4t0T+InrYv7rAoJ+ENNzijTDh17vB1
wloJvkEpFkI5/VxubeoAT6UzyHuMz/mqziyQZ3N8jHsRs1vHS+kxng/iL62L0mxKER6GWdqiFSOY
RZjy05jinrNykW5qL7kA8Xhh+uELmB6oQHFrg56x7im+dmknHnBr7g2nPiszVaspde4F7f8mYJO2
AiOAcV5cpX5jrJ083U1p8YS2r9ojkHsp42U6IKXDUcdqhoDTEIpNXm0Ii6934CmfswoLDPE2BO1M
JAqFJqoB5ml7og+7y9SDaaqwYUZ2IbbazwSKFKNrP99YlnjrGEmt6q69bnyfsLsouUDnzCbPmt5g
JN5lIoVVxCwAkzO+/X6Z39VI6ziOYAKJbhRwJYirb3os+YWvaqC+8t6Lch4d08GkYhk1D0A6r9u5
dtdIMg44JF68ZKho8DWxyguvtCffMsRbPkzOpp7gOwHf4YEa/N1imO+dgg5Upwd8SM+VT8Cvl7SY
UqFZNJN10pvKXTAZhBpJ706Qd3yMB8Ial0yn19rZlZVjZVmS/TxkJzKtbjMCjcoiOyZDex8l7fsw
hf2mUt3lXEc3ntE8NAE1uTOzcjCT2DuFnIucjQS8jwWjiVqqfZbXT1WNWcFXeGAxcK9cIqC2KoaO
ko7qMewhK8oak/FYNXzzNIe6Mjh8HKddLqW5KgMH/NZklzsi5J9s9aa6mV7bRdNdwTRIvPJ50pAD
C9pBobEHmE4fv8u5HIgItnDfEo1ImHMf3gTUBLOvSWETXxZoCqPFw9DAV2g0aEEBOdm4Gr5gaQxD
W/rnEXM3oi6cprEyUICN1y7sBn7UDRmfNwQeiR172GAda9DDUviXPpf7JgEVKDUMAjnXdBSaD9FE
nxM/XPYd5IiSQTOsQmASlsZKMHL/5GjQhKeRE2rqRrhf/1ZJP/QN/7VrP1KP/7lK0gKG36skFzIg
sgb8iT/rnd+rJGqhkIRcJ+DD94O2/rNK0qUQ4jCKCvTCdOXUVj+rJBemOiqBgOYakvM/Vnv9GkcD
0B1kGEYCrfZiKO06fxiBO0nRWPHoD9dl7oGuq4sUx0XJBvh2tscFz3gaJtHibUUymgn0yTFXWxcH
mwWNkqZJrcWcOsWpDdJ2voEC7OKzpn/RV701ea1kKVYkzp68NVBJKyGKlFhnI8pGOqkorCs+JZ4U
Z1/KsKs2vtmM4oQEV/XT2jLarH/xl6GjVhvA5PZ4yX88vKhNMab1TXiVtGZyjKfOW7VKiU9tDVsw
AOXZ8vEgbDTPEAS0ajyluA93UIeqa7/I5R1J2uqrSWJBA2w5ib+Oops4hc1Sn9A1C+g6us4MjGqA
dxPoOBbRPIFy5lvLt6MjfAN1hadKXVtwRjeUGe+1gp2Ec97uXoIUoVMxYKxfJ+AZjgn6ywcE2Bjx
6c1fg6UI92NSKPb2pNXBSN0XhnDugsUstpNGEBUSKCOADDRcLs4ZyMsm3jiY1JxXWb8TjYUfHJCd
hZQZahJ/puHQYpai29aWLnJY7S/O0oBWWzh4V7kt7a85m92TbPv4OCO4+kwX5pCiYYPJaFg3LkEp
b6TMX/mVVkdqZeve6lNiUzLTJEpYwRBx/Tq5ngmN38Szm167ad/vw7DocIiGwTU2MvdQttQ84QyA
LUE69or/vrgEzto/yhL+Y4/1B+x3aqOXtQqYQAka2TmMuBim1rtljY+Riav97KQMX7DE1yfaX9h0
fX7BgIX6MTCCXevO07sSSXEImjK+mOpU8N4y37iiNzXJD+zJRqlnED3DwOC1nYNq38RgewD0LYyd
OvYuix1GF0VneI+IEZ6gftuXthE0N7z9aGfkpbjqaxt6R9eZN1xWRK6R0H6MU4AMTE4yluTNfJd0
gdqMvaJ2TCUq2nGJdj1o8njz78n6/WTVBpi/7z/vAXK+/L918fKXUUgfFjpMPW0WM9Sv7s/VzM8D
Fq85PmtGmuxUtNSW/e6HA5bm0IEbh6Wc4QHH3s8D1vsNwJBDchJLGEaE9j8aiJJY/qc2lOFlSH4l
vnVe7Y/yMd+KLXTdbn1jk5ynewdI12qet9NUlcxKYovVQ74rnPlICCLKoLBKnsvQv0BVuwvCYU8Q
xbUv22PmGqhNo60pyhnVgV9fFqlf3+C1eZxN8TkIYb0EvZ7yGcN2nPMHr4tgsQIdBiAOtLzO/Nsp
duj2MMshkiwCz6w3gatMcgjNa3Ce44YRzIhwMgFN4QJIrswB9bkVbpes41Mag9siCWKJYIGF9BwH
6amSU1xcTwSCr+YZwjTRsu4m0W3iOJqf0ATQRMxbZQ/9ZiBhUM9xuxWXw6vHz4lOmO/bhiC55cjA
0JyUjrbIXkMmtds5ospD/655ockReFh0LBrSLtC6bWvEtHsAMMXJdQ11GaUJbOaRNBDRZZ/SlsMa
dZEFgDa74RO7hruUrtTCR9qTD13aemuEWZ/o6G+aVh+ijroUE+nLThtJHPs4iiqDHboSZrsO9eQ0
b+VV02TcLXNd7JbR0BrSC7ey6anGuzAj0SqCmbJalHXwHYzhc55+Gy3nKq6W68UmZhOZlbOSWYfP
CCukrDU2s7mUSYDN0bTDdUwrayzTsK5Z0IHexHnRgC7fFLaHSdO7zSM8PQ513cZe4m2LDGSnjPq1
tdlC2WZ/bTtorFpjX3OFlWV6YxXy5DjAC0rRn9qRZyaS/blNvWEV5PxqELnIrcD+0pMA1GdwB1vn
yneJDB2QT69bOBqH3Ko2eWPsu8w451PdXy05EiSXEnwNnf7O9uyrsCkQ4czjtBal8Nc2/ISVw5VG
yCjCwCw3fTKVo20f9w8TqNMdoqqrWERf5nYEFmIEe/ZL3sYdzEfRtl8yp/U3VoGOuB0wFaXxbays
S2sqN0s8Xbd9+K3zVLMpx57fYe8d4xZP5uK5l4Psb9Iagc1tXfvF8jZPRX7wob6FefOY6wUYl+QJ
Upa4qmTeXGRD+Fzn5t3gdt+CZl53mGGaJd7FlbdpenURDiRwmfapLpLrtK4vpqy/ruriPFZ5vgHp
y8A3kuroRe774hkyI53SwUQiIx9rUzUu97a3XMVtR6GPFHLHnJURkePxuqiPi26vgK1uZz85qMU5
d+5zb7BqKGX4qQpxZmTxqbOZFZSDy7LQWcVc5XhzD9FIrzq78pbDDuHjsLHhma4YnfD0tdHZ6QcM
eIQW5sFwqmV6h6lQL1Tulwbri9fhq0mI5V7ZHewKgTB9H8YWSZczm1Qn9/ZFnNJnF4yubDsBJ/A9
EFby5FQN2QgVg7YVEqQz7d1nX1TvdWd+wySW00cWj7jTLlHisdhp4eC42vZmdhEmuKz5GkgDGk2e
XKVTwDFhmmeABnwYgI/dELbz5izIKc1Fvcleo+u96Y7QruboVOMXqy53rTA/z6l/FRTtLtRCRbSu
rDJFL/YTM7dqIk+D/cquCeY98LaN2XTnMC1Oppftlp5UMrellvPZtFDaHRhTacuv+ymQERGxyB2d
UDxYpmvvYRj2+OGtZttM2bRtDftq4mNwxsh35879gV6YRPdipDcsbBD+mJLQLNlURroERPA15D1x
YWn7krToXIeZUgOyxZYkjfc4fE0b/64fnLuc3wn3AAzIuKJKKYIzO6mdCa2NI0wLAiOE/uOi0jWU
9z15ZT5mhgKI2wDul28XBISbu258UbjxdZIhf/VkOp6EYZFbB4/n4NrT3VQVG6sEzEivzj4iwNo/
0UXKoIuPE0ijyNjkgXNKwsDTOMcvZr+kR45jkJiCnTWueSNp7+002nvLjJYy8eR2YvWjF8KvOYnF
a6N39p0L73JsW1blWI1su7mX7nSJmCBjfdDuJVJaN2+uVQ1cobEUYuHpzpzrLeEN8871/FPdokS2
DPWQLLPcKWm/5SEbjZ51OTxNCCcF0uV/66kfnSpL3b+vp65evr39VSmlY3t+71VDdstwbQRi+lAb
hf8z0bfN39Cl0MMiXbJt2/sw0fdJlfQJokQhE5BSo7Mo/1NKEQ5rBgFf4OBX/2fmZeHxnT7ItVxd
rLFb/h42i/ws0G/io1wLjPjc88GJb6Kw3PmaSDf0yCgKIHXEOz81QOuaidy7BYyd3snuq5Lou1oe
TEB3QhPvVOjSmyjUMH5xmpDErJYwQwY+mjAIjNtKk/MGzdALgOmRmIPLJQ3DLVl4r5ZkwTUE8noA
HT9a47MHks9ieuNqRl8aJ1+8sNgYo4ofO1uahwqgX1yqaO1HbEB52/VOgv2rNf8vtuxnPnVkXms2
YK8pgcrwBIvY6J2I4jencKFyaaZgUFN0lGAG6zyhfKteFvCD8L5RRWsiYe2myzYHUuhqWqHUOXsN
dEw+QPXXAKRhAtqwZAjAbcGPKDX3sG+sswEIMSuI9waMmGlCYtYR0N2n9tnNsrNZOdMqTYuB8Txk
xUIzFonZhAjTq1cQfzS3lkxXeRJQCiUuQWZm9jCCa4S0R41iogzqHSZViNjve+COZWndMujtGDID
TDUAQCaAIJNhYm+RmIztEvwOwCJjq8lWcY2NksAxBpXSZbie9kxPE3P5BF2YQ6x2Wc8MfoZzGR4l
EqFsR7bHN0OzKuMxoa6pTOysmmTpQIvfNsAtPQ25FEGDmzKKbmdNwEyQt+/m2ISKWZRIVDUps9LM
zNqjhNLy59Tf1UA1Z7OBrRc7SJeahAFh7MNwA8KJY6g9kjupuZykXMYtmm8fZmcRl69DmAAJ1TxP
+vpyW2jG5wTsk4ns0Yu75gpNN0g4TQRlILHLNCMU0sk2jSwqd80Pte32Lo8QPfn2OG0yTRkNpO9e
m5o82gEgX8dyeZWdSZHYkz8vNak008xSqemlaQbHdJmDK/zR4SaYvDfk0pRpbI0rxd3vDDzKrsim
TTwS69DEc8CwxbuvwKaOmp+akmm06gO/OAxs6Nd9rAh4h7caAV6ljq1WqiRDD4s/tmfNZ20BtUYm
fvNWFOKA7ew5zOyvJlBXX9Nd7YkdLZsxfs+sWwQI2CVpvxKRpGe2PiVf1YfeLZuTQVxYi2OBW+Hh
TbeTnsM6ChBu8jRB/9nZeVCvyYU1YRRMu1lPcX1VPis9140CasFIz3oZETxOevrr6TnwlBpMbpgM
13pGDIYGjxdTY8X4mBk90jk9Ubb0bJnZdbtq9bwZat7DwgAamPKl1BNpWVfvKSNq20mOlR2cxgAt
GCPshVG2zUg7MZIrU8+46zmL2apISMeduDNrb0QBwkwc7M0p0FNyBH5HfA7MzXPeeBgfQO2cTAbr
HgN2WF/6aBLbOirnC7j+L7aJmIToWpIxpoGV3Tx6F+kyMGOPJ8jelDXDE6uZsd5NSYM8Azpqfe8o
2T/W06Sep8iG4+eZ/dgdoNC4X+K8di+GviniMzlPcXAcWkN8iWLPjq4yEt33ZZgPGxlGT1YivK07
kWuKgKxg7SSgm9RQBlWGv1nx3G3dZoJs2pnPUsjDgmwQsot3SEiARcOC71ilMbDeOroNILZMFegr
NLXLGurEufDi/JNEjrktm5TjKS9sLN3Ze9z5tx2N6cFQBF2lfXPAeVSsfWonJxy+lfP42LpgD/kU
74Ooe0S8gZDRXM6hSE8yn91105gvgKBYo1RAwCGjW8oq1sMQ9bq2TXnWops5N+31POCwMtDkriq6
jPxYafRl71Qvfj0mW8cGi+nDx0zz7KsNL7POJnZW9q5q54b4W3cfCdCasYZs+tA2zemSyI5NmR8C
mAHVQjNA8MUY3MQa1DlC7PQgd6JlPkYa5enD9LTgBuDfYapEbC32/lIR/wUCNNEw0E5jQSsNCAWw
TASxnW4HDQ+doYg6o2mtS1UT6uG1d2nmhpui8y+jpj3XGkLKJDTBNWM8tIl9LTSo1I3B83YdriAY
prlXQ8Nprw1okuva9J6yYHzNNPZUTcVJaRDqOA2nCHeSCyEV2uLN7IJMtWGnNhqiKrMGLZUJxTUA
FQ1mFRZrvPaMGuQOEJCKAd6a5DLiiyhCIbSyamRbDLPVG8NupzTG1aFFyTTYFdoFa9V52iFevBAa
/ipTWv4UHixmOc5nMBv5CCvMSO8xCr+00GPtlv+HDXUELJs7/KlN/LWdZs76wGdLK37LwvDgAqWt
Df41AlM7jAArwdaW9r8onJ9YG8qrv68nL1/6/u0vnO6oNj7WkyGyCs+xHVto/8OHetL6jRkbwzXE
1BAffTYm/zeaw9cJO4eRNvIRJCTfs81/1pPhbygLUZSw/zCJk/tno7nvMpRf60mX8Z5wXdA7ArVi
yPv7WE+OMpwMgmLVzayc3t8mY0SoNPBnMFlzmgCS1SS6PHa2czYCv7KkhYXbMknuPjZLaq6mkZSj
yx5/zLLNJnugFFNNVRMOWDme+zqhmdZ1Qxct2yHuUmCxU4feyorD99AsreF+7nsMjSjARISqY1n4
HDe18roVGxJj2bZebC9kSOaKD8pS44lY+ZKwom1ps1HfMtnEwa7Ru0zLc2svzZxAvW6MhfupsGDg
7Xx4GqltIf2oPDEcGsqkw+TMMntXTjDt4oydwzaOMxwWxHaywQfrfWFEQfE1xfy+CTkXjdXczOPW
KNiwjCXr5zBBOm6WBltn5nhfR5e1x7KUGJ8QxyRQSGKxd+fk3VMG84IqeAfpI1Ysgcut3/BvjZFh
WR8l7FfEgKckhuwcaHpInHKBICunbOoMUmt9PwdHMuSELKBNXnVckgDjmZNYc2oegk4g04yAulqB
XiYsdXzRdEZxFlrCUECZ2wdN9Zb7i7t3CifeYn8X+74e0q3ZExtKJUfmhCuLc25iRmxDbuxmtFcg
ONU2MIiTjAPnLQFFeyCWl8eCfTOWc8FBU8f+yvSMrwRXxQdvKeQajEywT7ru3VdRBEoXFpDPYJCq
viMgrxhsf1/XZX8Ruma2sY0kY5gBuj2uvRoJ3LhOZQaL3Hdhm/hqvg3DCH5XWJfbXqdn1qoEV96J
YKUkeMVq6XibgfO5qFBwxC0FR9cJSKOKipO+hkS+hkJGYqdi+uS1t/gfEZHHarj1025E0Wq1eHdn
vImsOSjhzXDa9iO3SS+mZjtZvgRKTcpeNFX5gWwlfFpRVh7+bcN/rDX+qyH+x1pj9dJ9/evFxgdX
PGHcqNYEFBCItPS76Nd+X2yYv3Fkmqwo0N4JS29Sfi423N9wmNG9B54OlvtFX4eJxbORUjsOfg70
ev/IqcIG+tezMySzjhW0QNCD78X5g7rOSZjaDHMprpPyy9JfT9Pzh9vk/Gcz218sTkJEgpB9mRzY
ROv4ehrwwZwlo14MkTvJa7m4W2ZL73MjrosIhXE3vA+IjjowFJtSIFuGH3gkpe3QtdlW+ixHPcOr
97Vy9pXfHYweAZ1MdqztvhmFxbw8vJQu6lacpWq1JMWNNVpuTq7c0GIQLns+CrqAjPklrt0EPffO
QaTVr5TpHiEHRu/KNVlilolHxlzqbwQ5lt9au4AFhgx4K3rcK50ZG58zhqmMoMWrTKZyN0B/XAuS
5E7wxr4n7N5Q1xpsYrrPYcc1Y9k6R1QIdc4mfB+OXQ87CzDAau6q09ilX3LbvnRtmw1vOV+qmPCa
oqoPpMAtDCDbh8gt9qCDrwJ0s5zJ1RfDVKzhxfRe5sYN0hqm/RTgOykCQJDDvZ9B6TaZtLaonE3j
UDXyYsBwD+5tvp3y4CJb4F3FS7fhGL6AfPoSWaNa0X4fYiBPMk9fhj4iyNQXK4hNBwwuN8bCl1fA
ByP7uc/jC1Do7IXdS1G17qazx6vCWTYe8MaugTk3M9ysBfBdeho6iOLcRTXbjyU5DSlZCVA4MTJm
F8IQD0NhcR8scK+cRdyn6FnWST8lWxmkxxl7M0tgvMxR5u2xqyP0JApICnhxJnFlJtloGHLGXQKV
Dg/eOhTjk6gdskHca6/HjTwsN3kq7pISUZqMyr0vxitITMd6VqgLMkj29GFlqA4kIV8mdnHvMZpe
DVnxhAD50Yr8Jy+Su7rzLoLF3RlT94ULl6t7gC7r9M81Pzxt+7Q35uVbXvh69r/uInfj5NNlo5DE
yTYGmjuzExwCsDDCj1ax53/hU8CAIHuOI7IR/j97Z7Jct7Vt2V/JH8ANYKNuJoBTV6xJqYOgKAp1
XePrc0C2rylaj8wbr3s7DjtkCocHwN57rTXnmGPTxmup63hsqh9TEW+tJTdJLb8uNZgkybcNZZeT
+LHXj7Yr6+m3OfGvk4y2bTgFxySuE4RHFISaZNJxJZyQgA2Xrn/Mhp59s5WMnZl9cmVBCIAqBVEh
QimJ5B1SvG7cxrb21JVNQI4xczs42bw98XArK/FB6qhURDXQmSaBeGGu3YwWsLMOYeWBlDgYb4ba
rOyUNpIgyx4SMsLcVhirCGGiTMMHDoNvfattbA8hRQM1SElf28vq3ic8a5J8WERRH53HOmKsXxoy
wNyugzlQwtSWGMvEAGM84lhr9BOSvGpnXAl56yc3Ba4ZkO+dfCgNxCnhBJW1qg/kc19KrWx2eYeM
VlFBUCiiarb4NuNVEHVHDmoUhEmZbxQOEf44MwgdFwqzlparoq0KtuEovZipnCZLxtY1c8HA9f3y
RZ+nh9pXn82k2rK+nWJqMNemw4i+Ujr6iZAR8Ck6+bT66LaQuG7pa4FwU8h1euyS/Gbo4RjRVb1o
hHazsrh1rHmIiDpYaPmBlgkLIpkDijlc5x1giZKmGWvUPgAykIJWAp/nlnN7TGOJsQa9iVR+TGpm
HTBMBpvA2XxMvmqxrztNtLT5QIErrUz2kBaZ38pBEu48V0vQVjVkd4mSDWtM4hsV8T1scuYIoTUn
sEWi+jRbyVkV5Taxm2sFnq+bNo0zZuT4Ioz2WPJ2QvE7JG5GvUun/n7R9OEvdDvUzSk41y5cTQPJ
NKw53X6QjeJrvqAk6Nr8YM5GiGfH1JzL4Q0g0efCyLcGS5yACka3029ypuEblv7w0a+4Ak62u5z8
UKQtkF27qY73TNOwyOiMfE3V2nXMLhytMO+g5UEf12LCqTIBt2HSfFwhSXVn+NOdlevz0+znhC11
MMf1LlAccxjXLRKUTSkT1FBMFZ0oftCpe717qqPUWo/WFBF0Ew2MqLSwJcMh5xYPGKCsrAa/XHwx
+pIsTwSlJoDdprjIk7lPqulexiDVgz1CnBned6m4s7rKPozT2FPBxrVX+Onkll08MCuWv2BKIfxp
1KqnziAHDfE35XHIg45GmHGgrz6JJb/YF/q4ZvZmgzWQpz9cEf+/NnDMrpwwyIdRbVOnBDeQVrzd
nEWWUdYFcX5uiVTCdLHTjeF6qJv1x6cA8asd1vrzOnjadJRwvPbvDwGtOSM5CvNzlqanxhD3rEpX
VpZ9Zbms4ZfY3IAp3fZjuU6tZNuIkEgsgXc0P7BSHXWiTmM7uQ797sao5JUadi7oZzo+/mvRGT3A
TURis3U25OD544/+20/OrMJUgKhRzlLhvv2G9KwrotZO8vOA/jWY7uQYZH1x/PgiP0vUNw52zV7C
ClQsE/ALmIyY7+4DCngoOQmcxTKgi84MYadSJzqyD3eCohWKmdQ/wUUsrnObZ5CmzWANmAYmkmd9
lSZmnAEimLtreKb2bc6u1BXkfMgAe7QCAbEuSOTTi+AcwQUdfaZ8g+C9MbKBDDRbnxe713NCApfC
9HgzY+vxG8VYhWBgVkmrvki1WOtjTQahWpFsotmKW1TqJiavHkEJ/f4pNHbVLF7RVz+PaAe7Jedw
NNPTxGwWIMskMb0Z4pMclgAaR7p9gcIoN7RjlAJR8OB3SnZXDTr7h8IIOiv1dWOU7ZaAnVVfsMUp
izQlJiEdmcUF/3XujTM8HoDuR19+7rR1B1uMdfGLJWGsMxFwTLEGU7wOV3mZo56hHFep+2eNo8fI
a+ZBqSm8Ucq2dZsRKqOM+07un5NIhC+MzDeyUWVEgocnUcywSZpqHakNPXqmsplhpJgX6foZ83io
zOb08eOg/PZ54IW0eBwsWbHpkPzy1PmqVOT8WXvGz/isMi735rJPz4YE54P19CuDWrRAGLYVg9Cy
KCWwT01PfCvQaMLE3IqgOZHgi1hGnPTCelK1PFw3mV4xvJIpkXXRUagj6SfFB659oWVbwabuEctX
eVYtcR5hIZKzIncxbtwGGQ47JWwKdoOuoTBd4mPIn8vml7ownm3MRczSCtOtM3FviImzM5x7FfiU
gZrDrdFCM7oynmLLQCYlviNgXng9LAMAZY18vPPt+GjCr60wgBjE1cwAYLpJ3Op9f0ri8BZZ4g3O
lo0xtU8WsT4O50Z5hS6Vs2DVU19TfVtLC0ONJU/2SVZTDOlZ4plwS1v9oqjSkxISil21s7oKTRKM
Z4kY5bGAWlRvZDne2fRvRWE67EaelrSya1nDwQQbOCggjhVkRF3a3qlDebaRajfF9KwOAErV+jk3
abBPfE5M7OhqL6TNHs3cWA8kK4RmxBgG46uwo2s0OMlusuZV0UwrI2WiVnKgKYyAuoSXsZfs66Fq
f5D3sTTeF9dtjBMBkA7OfE+Qi6YoxtFgXh+pFXcJ6/YKmgryJk6oSRceJYW8SWV4ZEKyjMKu9FAj
7LFg3CIdMnZxILJbS0kxnjdr2jO5vdOIUVxoR6k/rFu2dxKCS+AxVeylibRBBnyYCRkwbShVgxIM
GKdYdGdI7bFiOfpgXZHZtA3y9hAM1TFfXL5tm0qXtBzK7ZSaey0YDiUZmsTXETWplpHiDjLsqXI4
SQ1VQgrVWM1WRWfmrj9cGfrKZLYyWGfYZQZIYG2LEuexlBn9ZPLJoPWNHVM7xuEA7sb3/QPGL9Nt
dAXjZOznm6GfvZJzw7aYUKpNhrmte04hJiEPjknPhURN5ZOtbXkT36/cb95UddENvilvRWhPsV0m
3dlg3++bE1GA7oi2xB8uSX1SqFg+XhveUVV+7hRvr/duJxVhmFNdsDIUxStpz/14A7EzD57w+X58
Iab6//zNDMQCwiSel6ifZWd885sNTdtXsdyPJElP9N2isVlS2+50Mrx3YcEYMBl7bEM0UAFAKSdr
IWAbcYEnNaYdOfD3uo0i/cDOfj3mquX0avcgRcWlkM3blOMbVQ9MNrHkRo2kqgTrrI2+5hB7JMTs
N0HHjEoPw3YDi+qgQ+vkYLGaFDLGOeJtSBIxH21h35YzwwlV33dqu4tUcZiDaaeX9mVIUF+xbTPU
OSQCoVQnLS4fdyyVx6ysV1Hq74ZSgX4Oj67VMybyTJ3SIfhSjXb9KIIl6aRRg0++1V/7LRyE2Ojf
fqm02d9+qYmh5VGN2eNsjV/D+dtk7T++a5/9/e82DllKOSMHyXSOrFsy3p1Kvf/4Av84D/36C/wU
d7x5KjIjS+REBNNZF1dYsB2+Jjmc/hD3/I/H0uVbeP9SIUewkJsYim4Z7x690WwQE2j8FjZur/al
HTLOJPfRaH5yN8SvzzhSFDiVSFGUBfrC0XSJAHh7OyaG9kMwl+LMMeaFTc27S9e+J616J3Ifndx5
3Bluf/x2E7nhw7h6TlfTN97oZqvuPv5Wf+ZRvf+N37zWPz/om6/V7iMbAT/LSLvuPdmVV+NttwE5
vbZXgE/rtbLhe14jhXVkJ1wRbdOvtHP+8vGn0Jdu3/tP8fbpfOciIekktQQ+sfPTuBMruOhr+8p0
Lo3mhN7mUXePhpdt7HO4Hrf5rb69I/FzM25Z95x5Axuc6b0DF8GTjt023zSXEKGiE3gPhdOdSWfa
6Dt7VxxA2txn69uPP/piU/7wo787QUuiidJSinguncIp181ruS7vFA9kiud7gO9X+TrbF5url+Oq
2xGcObrxHuPhPj6Dcnd95vjOd999+PhTiV9V4/943Y13uwPMtr5m+jydw53thO68zTb+XY7B3SWc
xnB8B2S/k26sc7UVX2mkrT6+/u9f1r/fo3erDUuNhI94Gs/yXKzMYTjMUkJgLizOj6+zrCr/fG7+
vs67VceKLLXv53Q6c6Z2+uFFHrcDlAx1VckEQJXrj6/2+1v976u9LyYl4rBVvYq7c8hoafJvyuD6
f3eBdzWfOlqpYRBKeMbOK2L6gLbpfXyFT26MubyIb153KSut3Jx40QqojFmyLsXT3Fmf3JXPvqd3
i1ujpLh7zbiFu8xdQe1hj7H7v/s93j1gXTE3Xd5k03lAOh4ZuM9AW2RXH1/kk6fLfLcqGX4gTTTn
2A1Gg2QK3Gtpe1HVzjWR2cSDOPcopz++5G/vz2JEYQysEvfy7pIIJFUS/9rurJHXi19LDWnybT6+
xm9vz5trvHtpSOdopCrUxrMeY0CWr7Psk67CZxd4tySi5BnhyVb9WWbRphmdqOknX9PP/fGjF//d
cxxGDH38lOeY2sCp3GDfb5MTJYK7xzy2Ci74Bj+JTgJk9PFas/zWb14dhf4fvsWQPeqJxnDOqops
2WFY/6wc513vXM0Yp9m69RXqPce6lpybdrXs6ldfqit1T9UeOvFqap1t7oabzz7ebzfyt0eX909O
VA+y4vPSKZdlI5ecZpNqu1xxnWSjeY+5s0f1dvghf6M4q++nA/TeT1YvsSxPH92Ud/edwD/M3PbE
WcJDP+jBJRCGYx9S78Y+G0f4Pt4XjOtOTsd2XW9g87vSJyv0Zx/BfLfvgZGVtHwo27N0KJzRo7MZ
fyd2wzMP3eu4LVfZ0dygzvwRfFHdcZNcAi9+/fjt+ll4ffAtvCd1Jr2KZSbn0QQxs4YO4UTLqW6X
uHf9btztCHx35jOSrEd5jd5rXW7MK+KJvW4V7gYn/Jp+slKqS2H2j8/z9+uuv/tKLIkIekrl7lyt
tI2xgaYxruf1fIwOivMS7Px14lq7cktT7zi65v2KTGtuUbtJ1reRtxwS/jwc/JfQpvDOfaB4Kpr/
83/z4DV9bX5j+eZH/y2jN7F86xi+ETj9OYL/a3CvWP+yEdHrTPUNxE8Kb+Bfg3vtX9DZ6OPCfMAQ
vgR9/VtGL/CJWxBxdF0w2Iep85+AcX7doWhwKpYs68gJEO0jv5Lfbe6xRXrskNvxuctWs27S9tto
1eObL+bqj4fzLYkWSu4vD+0fVwFhyXCLPgDK/3erWeXjVNFnPT63RRylkD3kHEkiARqur4pkFatN
7RaTUI5mYOVuV4axm87+oSci60Yuw+s0sjZCD6PjIMvkeymS7ipWBwlbiShyAl41ke26Hk9Rb2/L
TjniH7puJnGq5uIw1uolqoO9HJOdm/WkSQCSsXEMoAzyO7qEkbC/KyMMcES4/GFLqi/hDz9waRHK
mhsc6WF62VgK+fkRjI8zjShb94M0cwwfRtNrJQTSsU0zYuxmBF9JmwPmFNqDz8BkY6a6+lVkEg15
7BSbSE5CWuJdVcLvmaqEPpsCVtlKCCMJ7NKPdwwfW5M+B3OIqZmI4+lQHI2GFYZOq5aq9TCLygCo
L9JNLeF32yjFAILaLRWEI5Xb6Vk7+dgnsYhalZBO/P0lcn6cYAuXu1i0siQCeaQD1+i3ROrVphVt
iTRN9h3ea+uK6zXqV30KzOYgpgIhazCpN4VZ6+NVqOBXqoLJBr5hmHvY7cEX2VC0x94MyWBNJziQ
bY7i2cJxXzO1XGJ1LcR0WDWHxr4vClxfRq6VK4kWsifKMWSsRruuCmi59ELvaYl35qrlOz8C2Gme
G8LgxolY72m0yDetop0ERH3FmStyENwON3NPLpM8pSu7UOwb/OgKo/gw8qzJhmFQZnACEs3rC/aN
Knok1bU/cut6z6iwS+B+E16DUIZUujHaGzMjSJNYqw0tSMXNbfysDTMkZkNVszHUfjtopKeGo2iu
GVgoiMOyU5Snp75uKA3r6For9J0VdtSLRrotojzxAlW+auzhlvFnfx/0o/WD9ALy6xLPGEbjRxF1
nk4aa+JXyp0sdWvE6szUi2RlS3gMLGZWoxU4zDG+N037SjX2OsXTQ0WLulb7Pcm+axYQqK3zRhvl
02T1AHjaraKL4wycP6j7byCWiJmT1umgIB1jSNZNL4SrIDl78eVO8QYjVRHgAVtM9P6LbkTf0tnQ
VkaTNPsWD4sjDfNRZIIAUnEyyg4aSfKl5PbhYEPebJlAUIx1IKxtJ8/IzJtVkPkCJXblqD5KBqXJ
ZSzLRMIoE4FVpnnF73jDjJfxSzQH5Mkx1dd6OTohM0/gJIjrNgXlRh/7EIiRh3lB2FQjFa+PrM3K
poPNSyTTaBcMskbLOlqlimu3eCQ3FLuyeduJ4DqvyqPJf/dIfLKuvw5t0uwEkco+doIgGB0xJbTu
woGufF0UblDL50RKvhaJ8rVExx81CZ5PhC+dco2XF/ct0QlMHhG/u1VaTYfZNJFRou9DRvBSMTDp
bN2za5BbZKU60zzsrWKemGjl+b61CgTrmCClEDfeFMDo0Uc12VR2uWFKJt3Mk1R9coCiQ/nPlRdh
1s9gFJk/td6t7+GkYN4wUpxGVSJWfWpPKxM7OC6cPj22mTp4Zu+vgyLMEDzOr0pZNddVlch31myl
Dq6Bm27BWI2+l9jmozy2myo0fuRJHGB8oY8exL7skAC4Lmae6dSP3MLXGxcNy4xcAKyHabXbvii+
1ebcuVHcPAg8Dyus4KqrYAlxUqJqK7cZd0qZ0Cmi+67E9UZo/VUqik2Tmd+nNLslJWTfYaGam3Rf
deJolgUh3MLetMNUeM0UbcUIh6rpI2weEkGnWrwJ2Je8Rm5utKlT3DI09nIIEYfkDZnEEIXkgHq8
R0SiYZ7qKp4FcdGiOXcrwwBjHCWnvpzPYRPvkkHf6MQZgM6s0OsnTO+sxY9rIX1BcqMH5RGjD+PJ
XFyidDikXbZlXyM4pISyU0wNboH6QuTwDSx4ulyAST0jlxBPlOg06/qKiWDP4ZZQyxrDujZpUITH
6NmWzUMEaZIYwNK1CGlMkup7UskbpWTSqClfyIf2MhXGmq1tB9YhtSm+F7Z5lCsZvZotffeZLDql
qPCEQg9J0kzZSeWylrXHyDSehJyuZXnCX0O835QJxY2bKQHuElzUWVc88r0QfZSxtRVZ3D0UOOMP
hAvXuOiGbPfxIeHXKvPnEQEyDpNKAW+Bjte7I0JM2hYwlyw6+8h81HiPa+6TKnOpV345Oat0aHEl
0rmmJ2wp74pM1YCXbdlBcE6NmNn4BUvGNipv6gG/dp3SdsBQHK8+/q0Qknxy1Xd1ZlcmbampknQC
eneLWm8hI+S37IpPCLPhCpJ147aWjmBM3fVdnriYLWLeCqbtsogKN6/np0Iyj1GryS5+Z7LSB+Wb
FWqml8nxvWFlg0ej/mCm2hfYXuNeSVWj42nKi1U3m/nKKiUkkSWxEWY+TbtuNNVvRR63a4JW1VUU
RS8pzyotNiP0WIEnrwUF4aKGv0XZNBNGmdyTrih2WUD20NR+J7hwy6Z019T12miYoAk93qoYlglD
5YSSDnm+meZOdqvMQKYz6Kifo/FGhDmwLUK7KzUwHN0mKKTpEfUMwmnKaFdr0pbo0rtxJsNETvZ6
W0D2WqK/Il8FPNNGOQ+xvkvmmKzxyssnX3hqimVP9RNWWfmxX7xRUZyhdxw3ec283595gmWEBwFa
C2TxRUxifDnHllen/qlcMFq6uVUK6H9WMN6GUFWdsZSAsCbop1SGt7PZbiRi3B2lK56NoDrVcnZd
laTWtWMLY3Tf673k9Lq6NQnA9EpFuc8nwLM+Hr++7s7o0jQvLsmUq7VXq5IhIS4KLl3bBKV2NIfP
qsOf+JCPnvHlIP6mqwFRzOwFKXSn+JhfBWdpXR2qh2GDIGdrHC22HvdFDA5Bmqf86/BJS+WnmuCf
F1+UOQa8cMV+1zBQytDKE0uTTqWnO/lRuOUa97ZykB7NtbyS7y+Se3zsVzFD12f+kZ6no+zso7V/
XlLkP/k0v258P6VCuookGY61QRn1vk6e5AE/lRKH51C+ImnQieTHut9+/Hb/umb98xrvhqhznXVS
GAKFKKrXoN7a0yctmN/+DiZMTXOxwOBO+fVuZqMBYy+q2Lylq8rmfdA5c/6xQv23fF9W4v+5fD89
1xHky+d/1u7Lz/27didMUwagjidJMzXgaL+I7gntUCGYLV4mk1v3V+lu/svGqwSC6E8oG83svxxL
JmYmVZGptNHbm4tv/j9IovuZhPdmR/vpgCfoE04bmi+Nj/GuFxQjdBXmLMJLJhNWewoF0YqjIofW
Tq/zPLgqpEHfz11lfDVCbeABlXISmodRGr7Us9k82KFW3Np2pM8L7Xko1mputo+N2qHRXDgQKyOM
idqJpIdRoDsfg1lD5QjjQ4zGlQVKCyXkpevJLUmnZwagzyL0NYfF3misbAWAayNS4DNiQo+qJMZq
7ImMk+o9Ky0EkgZ5LMUJKHV5ek4q9KjVUA8oo+jDNgrJkxNHUNc2rHWa96hsFiKu3qE2CWqIGAP5
WZlxo/UoeiJD8RKVk6KPygCmhWf3ynOVV7elKr7C1FHB4tbDGgYrciUxzxsrsjOXupbToqbfxIZ5
7K3mSTBBSYw8PZKMdehCOJmVLyxPa0xQdXVAsvNQgtOck5u+Ku8rbS5Pat0jZsoZYNdLwHZNrhxY
R1TxdQqUtFUpbsc8SI+Q4FezWT6pBgDIRpGRx8j169zUEwnIIxSPptsyZtnIdrZVsNwC/Ixxtdqu
pqE5gaiwxs9I6ELMd1D5ygAA0tK3Uc6/af3YIcIpHvIw+Y638trSQs8q0xclCe+MoqVp0Mba0df9
XVRK11G5pLDqSPvIb0dVDhUtoG/lFil6d8O402oIouyL340iP4C7vykni7JLtqjzctN0sI7H4L3H
Q44Kp5UHCDdFvkkjdFBC62a3VXrU6/lDbDSccg3krdhvV2jwbnNEoa40QHgLZWutVWZ/7hZnP+MX
q3VqbdcmRvZAeT56ddIhnybSWVfDc04ImFNJcC7jqbuvp/ib3w/sZ2HdOTqUX7JiHw1hPZl+4Ipa
eYZwzJF5+RhyfyNNQOL8+ZImEQZvsbb9Kx7WgqyR7pjaydU8GV8jAzN5jlljXYN9gsmbtDu5nICc
89gpenwsBGisBU4VStajBLIZpQdAFiUeAaPXS/pactbL7KLa9YFQx6u+wdje9jWHcFODCFx9JQjV
C3Vxn7Vp4BiFuS974zJFg4oVrztINiVYX9E/9ps7Kza/GdJ4qo3uVfjZXdOaO8U0jnGfKDs5NA0k
4jYE1oL7gBHre6oMvGIzLjRrTAmCzo0Lv7zhtEP4VNU6MnY5uwhfueLYsa7s5Jsk+a5V2DLsadLS
MjW7WjKW8OmGBzNr88fQYKtJJ6A2kpynB4lcLHwvE1pO2TBcMErP2NqSVTul10rjP6VSMbm4O7Ep
UobY1nxM8/bUKYjgO+3LYGTPrarsZ52LDhBeywiZmL0Ly/bSpPJGU7WtWhL1QkQlsFlDc3LNytcT
CF1NLMhGRcF/H2IcadVDRHzCdUOuX7Mfe2UpsPMevTYWEtuu6HjE1mOXQdEJigzrTEW1ua5SGelP
w6cP8qLwylETV+Ok7dlXlXPIi+Vyz3XipJgt6H3NzWnN8XGu4PTD708PsRbrm5avYDWkUrpVTGly
SOIxwTA1fgBE1mjDbSupGCA54aKCJfVmLcVAu37uTv/dppcj7Mfb9O9sxfzQX3s0WD+VzZkUkz/2
4rd7tIpnDpapoZMfxvbIH/21SVv/AjsP6lSzZBQ78jJm+XuTXsJdgdirPG6ItZX/ZJMWP8vKv0/F
bNKL+Q6xltCWT8Ff+OshDgKzbhiSPF9wiD1UKhyVlApwEb5Sls3Z2qqMjYI5XZ+gi4/2A/j0wCHI
gdXANu5iSzupRbvL4nhF9J/feKaZEewY0bS6Twsb8KqQrwMpr3ctgAXbyzF5fCNvA/dsrpC1ckCw
mI2YsGSiFFK8WriGolXWxd21nJcwnTvjdkiWEqifLrYOlRWVnVeGILersbibJumBrL97FUuKIwum
/3INt0SaLmFk7XkPvClsXupZBe2UD04QyzdlLK7ADTyIvsm9kJcfcdfSTCGIo/PzHxPAQSdE/Olr
ZuAJiNYwc8YLFr7nKgVCoiPw80hS+o7ZZPZamc6gPVqrQG6BShchYHU4uWwikjbthhE4HXrUg9KZ
FzXBYKSEh7kzXVkJTbfPQs4doj/UffkYyvYXiWANWtTqdVI0K8R6D0kEBbSO5/uW40HfKeVZ8QcY
FMUPIStUcNGN3ZWQbtTsWAbZTsmmh6RhvS76H3IN6kaWJjS5aAicOerJDpCS1lFhzVWNRBBGaLjS
VAjPFxR+OtURJyHocjNNf7dvkcyHxeC2S6Z4EdPLznBMr1Alz26OuhA2ovmCT2ufq8q0aX2Ui81I
Q9oSkBDUbdfVFz8lIkqlZAd7W1clW4nRZZtWR23v6Gm2U9vabRr91I4otNWCtS7M+7Um+98STnNJ
OkqO1gGUycfnwMBox9/JMcCmx7mEwYbsIaEqPctgE130rzAbEnp2jf1KXBg5HHyxK0tuurXoQuOY
Dip5pnl9iyFSO4s2Kw6KCGjam3bszXW3DUkVIJQUzHnam+ymmbKhBdbi06iMc8d8x5S0Hbr0B+Ze
W7kTD0MPFA0bg+yh7lQoEUV8LPMCbAw82lWos2D7fSw5+RhrLlG//mZSFPlcjqq4Jn4X7k3Sb2wN
BfEQ7LMEEPhYiWeqRd0jpyy6mKoYXJs9cbIATragFHGSp64+5N+mBrVzHz0VAcnxNoGjQcj9jNkT
L5pG1uyYbd4sar+ZkL0r9HQZ4gBAUEo8Y4FnLdSEt2V7qY4ExUu2ckmz+0T7ruvep/2131wC0aih
gjZgJaQn/OslpjIYmzjCM5U037rkairvcvsPoch/9yjB7vDBHvWafy9eot8GpPCDb/Ypi93BsvBo
cxxdwGh/zYGFtpDWiBNEQcrtWXqff+5TP7PLBfpSm+cSk/YiY/lrn4IXTnND/jPt/D8oJHXjnRiG
508nuwWcGhpZhLnvW6Nm2gYWFAnpokipSwYR4CxtfvUHJnqJnhpOp8prpjfAIYMs3chRWd/YdSZd
C7OXVN7xIjdJ6LJpr9nKpHpdo9SPEJjM6UWXONsbIbZgISZtE1ctrmNhzZA+B/6NfXhjWnLtjPVg
bUZCllZ9KdnrWhFPeZnIL0GVZm4lMHQVoZkyd2rJyQqW423B/6uaZF5j4qu/gmNVyGVJLWBSvb4f
cnMfx7UKZrPe6SGbYdNJm05038BFcmoj0M9hpYMwsaxi0nSaAoSnmamvOMT2ZyuXMQLWcbAC5QvY
cIK2OrFb0pGk70cgKRkERAlbFJOO8OtyNTNIES1mtLjJOdNPLfYIS59uFYWoCJyTxJydoyoIPY4K
1/HckhQjFPJlKK8tju8DRLkGMqhhsfdrbQqVtdeHlWmNzCuIJdznMCophqJxBxNKXjV6hf2opqjl
0C8XfGdMRrkt0oXYtMnRA5sxNobmNtL2ldbgO+yL8XqmtNjkCKKvx16+YC4Mt3ayeFQ5DAO1nedo
TZmS+2T25gRhx/FQbGvwv1g1zCVLesQoDgZMqhmZhTPsj7z0bzFolZs+XhjCPNj5Lq/7ngN3Ee19
Q7JOkQa73SFB6pQQJWzlJ6Xq/GulC7+kIQbtMDeeg5ppxtCAfOJY9iVR2mDlt+UPSuHMbaXgmC4x
I1Y8XVLmRaS2Zz/CWfdoI7cXiAMTOXKgZrXaSlw7xzwh9cau7itzDw1Vcft4ug3jRbuUZRst5B92
DcNq1JFJatMgbAeX5MAHaEUHtrfuB6Gder2U9pNqugp2KPVK1xvYUDX9ZRkzq666Aiu7V8Zpe6wr
G5AeD9oFYoaxriu9OhgahYZUQByoaW4zCOs2cPW/LtseploFC/vY7IcR5mnaBwp5Dr51ToAeS5n9
XUjN0Yiz66Lr7n1S0prSZA4ipPI8IUreCaNemHjzVtI5PgCETTES+j4Q0NdWGg9RysBIM49TSE6X
GYebasQhBB+L3/liTTmGOPAMvXTQleiYhdCVok73T7kFMC0jVG7dhcFtOI3BrgrTXR2jwqu4SVZI
vTqAipVifOhQ156DbuANNKLL2BeEsGMmdKS2z1yyJLGSpTu71VdWTcJhDaWEaapbWD8Mk3yKNlvT
eVoTNO3KPbtsIDgvsvWGZbwze43879EdlPZn3lJIpyq9t1L5QmPhnhB2i4fULgx4j7ax9635B7jm
G33udibJ02qWrQxCSqDqjweMYi5+x+fQUDdGjbErYAgd69ZVg5vaKsR3m+AYJ0vV19aebjRpRJBe
laepmgG+a27JPWbgFbkaU0Ime+CCZRzufvYCJ+VuWJ5HJYl3uJWvCDe8ZBbmphjt1VhAGS5cFlKK
Xx0pZj6ep2pyBTPg3O88yaJInqUNDY2tyZAlK+Ot0QBX1ZfZqYheDAtrpFRupc52kxAuQFlc8lK2
VrlcbJArMqnqgivRpl7UB9uRiJqskI7AFtdQe4FhEeOHcrbiFYHA5OJS8ihzXL9NiZJ5LXC9jghL
YkveTjLHmCF/0itGpDPsf41rcFzUfHFhenbbtMaa1hqksPFGG+27NJ7hTKQpJIVB3mQazATf5gn0
JRg18tqysx8TfWpWuDU0SrcJLc+wRlCKTbjj/LqFsvAkKy1tAOvWMMonK2xugn667rLv+VS+VjJB
21B6HFMll9FAd+9PXhJoq1CeCKMPr/FfnopevaEh8kORSOCqZUce6EbJ8lay+63VSP+PvfPYjhvZ
uvSr9Oo5agU8MOhJesvMpCcnsUhKhPceT98fVPeqRJau1PX39A7LkCAygYg45+z9bZi58U1oZofa
VO9ov+HUcquZZeaT6XVfiWbFq3hVuc5K1audLsGm98US/gFGq7RaEK+TEkihvXVN9sivAr8pKW4q
Eu14k0h19Lv5kHYvVVpxCFf2RL9uR8VGwoMlrS0jfLNsEn4uYYT7A4dpy15rdfuA9/25Lojcyu0t
5FTAQ4acZ3W5wee2FX1C+9B0mXm3j10pHrIyvM4UFZpcT0ek4bMjWSytN3Zt8nTaa+ZNF8jT+5w5
dasQQBPYG6eXJ6mPW8zvu1aqRz9jxpQ2wSqJhzPJsIDZcIp3Duk67kFX+6cc0eBQUpNornMnS+tS
ldUprczrpqejQdDETcMJtM3BIZYjvUUzPgAXJvagELMOTmg5LVRj9jhE9V4riTzM8QlTnYU68t1u
OvSk4OLSuzIfdqqW7RXN8E+KpO4ApBXfVICF5qNW70qmdyOJT20dsfGEX6Au3oV1AiOAYfvMtesn
AymPRkZmmHnLKFC/WAnn/bp4jEp/KzT1xHoLwGniWHTVnmBH3svYjuajUJ98s8pXrh7dJmVN/kcf
rSNdPYcRNIeI/OEUHMwKQdxGRta805RkGYAqadGh2V7nzdVBW0Qxs30/PfeetQ5lv+uJPMsVdEtV
+FITaEI2BmMrvC4z5PHLpvGWpa+kcxCXCMCaeRKzSfRuumkV5wve6xUJGmuvtVeB6JfUMaw/FbRB
rx9XfZLuhxqjWW3ewnBlr6nzeQpNoA6iueJ3yi6Ftp0LLGoACko128ZKfRxp41dl/oYYARlG5RLv
1B9bgyIuEWx/Pxxp/58qFJO5nmbB85wme5/HaXVXlmUTpMpJJABFieOKrhXAfL++yDTj/6tVwoyO
Y+hk1VKFDiAG+ePHGgUWrrBMQ1VOPegPoJzNUw8rW4fw/jv7488OvD9e6ZPaIJPZoI6SK2nOlW/Q
0rPV5ThuM+s+bJ6DzPqNavfvxRc3xtuE+pGGJQ2pjzemwRh1ZJx551Z5rpt94b2l8duvP7uf3RGn
ZQ7LXEY3PtOQJV5o4Q65f24NzAzrhkyJ2Kep4K0D+i1affXry/3kjgivoGihYqWgtD6JKSYurTaI
OjgHKVN3HcCYt86j39zTp/nq9Dx8uMgn7UQlldq0JBcJmfjU5SF0/cX/321Mt/nDvLytR9r0KVeA
w0uWABF9t6Dbf3MR2oyfH+sPt/Hp28+jIcrbpArOvQJz35y7wdmASeTaTyYDqOqkNdVvrvizbwce
tAASZyF3+Tw4jgInCdJQDc52cSkEQJh4a8v3f/7RAbKwyE3hOSD0/uNHJ01dsZy2DM/wA5aJtbBB
MHXx3a8v8rOPTmcCzoRT1W3AXx8vknW+bQdBH/L9PKXWwadSDFkMXHkTNnsDrl0nL7++4vRMfVqD
WOL+uuKnLws9Dvo9dYB7TXusrR50DlC/vsInt8vEqjRVG5qlxtDW4n39tPhUGSGUfq8m5/BA13bL
5nkErbE0L/61OU+XBL381knxswfix7v6dEmI5kkPBzA8txaCHeZjmsuikG1+fWc//+wYRgt2ThJ4
Pn1b1ki2To0q6SwLd66BOHbq33x206f/+duBR8/T5tLNokX38XnIKy2A+q6EZ5vSd3A0TpvPgQFR
JQx/cy8/+8R+vNKnBY6KOCsZu4VnlUA/52LKm2L8zfL280uQ2aa6GABAmX68mUCNWscYveicpicT
pUwfaDOCEn+zqf7sFeJh+36VT189nCe/HjyuEkRvsYIwUVmWpAhGzTyqz0q0js3ffEd/uy34qWS+
G4KBC5MU45MqgTQtO09s4lHqdl2Uz521LMbrf/igfboEvbQfl+209fhA/SI+k2c4UxVvMZC28z+5
xJRhgEfCpc/28RJh3ydKTKV1ruI3ZdwyyP7NBf72KHMPKETo+po03tApfbwASyd0mRSXI+e8pCGI
INwGSOtT9+u3G/lvV1bjwftFVzZL668o4X8i8OHnvjdlxR/0ZHn9WE7+hGD+1ZRV/8Bew9dvWda/
wMP/Hh5af7gquGnWH7YKftu/O7JTGKMDnZNjGDNHcJz/ZHJom9MS89diN1EF2PQsF8kQXXuVIefH
JyTJyR0cVAc7rD62q1xIYwH04skmdSuzmwcA3HfReJFDu9YKdakVzqWpvTsZj9Gc5pVOjjzpROlw
RDvgKW96F90l4MDAXJThGobkq1XTTGU6QtJLuBEe6Y3E/NLnLeXcb4nWYgb2rKRt/qrWaYDOMu6W
RM5KUh5CYO6ltZFeuUs7Tpmh7j8klN6k6TyNlOdx7pTzjuibIYwurq+/lJb62LeDNqdFc4S+nc0H
P2IcX4T7pqHnaWKTfhiE8xzAF9+TMCSXamdapPeEd1ETP4vBHrdGQo8FBC9t0nEzFtpzWyVXbor3
3bJv3HIdwQspXHSjZtjdNX7w5ATKphPZQ1Uq3s7W8oVLIk+StuQ0IljHCdwPwdUkWikGAFTEhn3J
kCWQ5A343+qu3EmfkQXa1shWNK6hJtLb0W4mGSgtrDp6KjS/mPEnrqtqpB8GFjE2aDzUJpDcKNQo
rg05y8yq2rQEnIGmAXUllQOe8G6T1XaLGrRZdllICwwij6BRZ1g+U+A43hRZ/KWk9FvUWoXupBTr
0hr9udk258FxNyKkgSMk6Dk/pYkV0OeNU64X03sxPXJ57PJVjEOA/p1TkzMuMorW3pLulBxxoLwG
ruNeJYQzWSGcYXIKAIj6SPbthW2O8HcMWmKxMKG2T8oPjzbX3Opa0qgixOmxXQFxCepkHthEGw2B
S/80gbpf2y+0TrdQg+pVU9GBYkA6Nf4vnQ0L0FY57hb62zChfIwivE5V8st9vjkl1+9MOKtFQoIk
G6VzKBR1GzvZMQ/7Z+bX935VvaLYZUjXDXIxWhaJIGETzocSnn0U1tt2qLNFi52qCRDqjJDG54Gf
XMDG6vOo7TcAtrMVWFVIhIPVzaJsq2tAlRBUvfN97LM8Pxmlj/5LrIGY0ZujyYdomo5arN+E0FPx
mu1rtTtmIwJ6Ovg70iUOoK22WoKTJgacCgPrNSRS0/U9ElK0eGYhk+6q4CZvlDuKyq1Is12DEjiz
rG0kvBP6mue0iu+sqOBDHYmd08u93mTHpmWQTGfqEiftupfBwWgsUgS6Te5mW3XavgdjQ7Nt5xk0
JstB3+f4DrpKnIVvxKsGRqv06sfOJnirMkYirutT3gA0A6O2K13t2gzyfRS0G+AoDXeYNFsiWE+G
KI9ebtNybBlHDCiKPO2myqoH4on3sg+PjQ+LyhuuUwiS+MD9hyj2V2yND15kr00v2yRW4GzJy1hb
bUdYoF0f9dQN5rCJLwYdUgZjl0RpkZ2JYu435bZ1xSM5f/HcEXG8cLXmGgbroYFaPsNb48/YHx9R
/mzshtzkgYizflTm5Fcd9dh6Hh133SndsnaJzA7ap5Qxc2WK97ECVBAE5MAjTwoEB/GZPSppcq0F
ZH6Q3hlrKyczWft6Xd8RyoILzIr3rtcc0H5t+7qBNqG6e9/3T0Yb76U3dDNaUMdOEuASuOlrG9SI
qcsYNJ67LjL3qsQRg76pXyWFUIGYqveB2hx6bHF6pCAqCG/G6StETvqaqz1vo0ekRLdXPeWhF+1J
V9UrEZH1YNlTfl73oikoMoLcowVdkIZe812UqrlKG7B6hZM857p+HNykpkNUbqIsXJO01y0qS72n
r7wrqnbm+5AYK+XSIo6ca8YtSA3E/uNrGNs3o1l7h9Qs8q3w5HWepEdlkofIAlrxaD6rubUm13Zm
6MjswhojWFf22ibqDd5l72tEWjdel0zsB3s4IITVVqoKaE/ABLULs0RZ4OdIRGl2W57YVEnzWHXB
TZGOh6HxbmVZbVKF4Mm+c+7BX66551tviB/qwsdSbZyjid4q2rkWWsDLoeSaRnbqau82EGO1cKx2
o+BLqEdnW1bWZYzVTem5fDTqSSlKjPy0ldtGu4niDCSdmk4gui6atWp3yXXrWMHksJZxpWjxsumK
4N5MgprFn/gxLWUClDjxBIOzQL8z4gqclrdzPBTMMmdWyS0NQ74p+2Fte6kLetJ0GMO06XJUUA5q
LeBhr0U12DbJa0tOimGl4YodhkkXwuBFDru1Z+JmZvVGEvG26GN0FVnrtjsAUgkqx+E9LSsmliT4
RANuED0s1ZkVIIAx4/ihzTxtIQarpB2NSg6Unq3MktDCkJB4BwYn+SklHuYxVG10n+ZYKqvG6cxL
1aUj/duRCWYXGwRatYjjl3kH9GpUlQND0h0+o7PmRCujD5e2Nt4nhbz24OI2hcaAV0/nWuxAdlOL
R9mZ4dQlXZYqcNc26tcNlL+lXtevbQj9PnKeDKkf246JHWo/jHdA4UyaRNUt7fph4dj+CyvrvdDL
DSPmkzD7rzLU97CoTfyoNHQDEtgrRX/MR3NvB8kR+7BOWnkC1JdOcU6bu2GLLgfGPn/GmpqA5rLr
uoqCGUK+be5ZB7MPNmqJxTHKt5CaoVaKaBHYaISsUL+4XXJTI7FqswELVZrepvhW5gmQLxF0WyGU
o2uoc45Ca60vtrWE2xwRLG0Xe0jZD5ah7+NU3ZU6O63u4NHM32RI6kPkXXrJSWFg6jBKf1kiAjaL
+mviuwclJe+Yh67Hg9u48RtRaZg6yVfORHBdauHS0gJI1OEw0xNic3pxU0UKLeBUUeYYjsk4ImwV
mZJs0TdPcqDGrVZ1qG6SRnukkCQFVu1XpsL0FpEiR4sCyHVcsLpHjzGUE5JnvFlXaks3otZsvBgr
WHhPuMBad8azaHEvR7V6O3TqSg/zhwwHOkM1DGBKG3yRZdbO+7BrlrWvXwE8v5Ke/tyLGmJzmEN5
tNehG2zdQLgrz8O5HY1f88G8qnMI6Kzv9cHSeFi8rDPh8tmQEYZcXcrBck6Zmu1So1litLSQi4lL
bCiHuEYtpHj6qqoYN0vTR2Bd0Xr2B+vJ7Jjpuqw0dOj7Q987DNa67KE3x0uuWE+aRmxzHhSPgmEJ
yQzNKqramHY6d+1IdeNOS0/B+A8eqL/xyjicm3l0zJnARp4ynqBZ7wlBLxYao7lFUSbvSE2JhBgK
JKn8E7idhdoCswz6fE1uw7azmcsNdYPbdtq1TeOxV3nRQoEjqOyZkhWDcaVGwRUy4bkRGv7W9sfq
kDN5QUqkw4iLvV1XyotbxU9M043N9LpjNabPlbKbU8HrT46PgDo3LmrXBwdXT+E25lsvF7fERhIG
YgrGec3aI8NXJNGh8MS6sQ3yG83kvXEy8K26BnXZuY3qbBcQVRW1EMnijqgHrX4c1OKaQMhJlGhf
hap3laA+j21j2COuui9i98no9Wu629ne1MN02SAXW2m18TQm7tbFu0oweJCu05ZfrBTqKlMDJOyp
0W7CGBlxhZKDiDYjEfpNr4YaZURZKsYSs7ihhfNIt5SlpgaSwOAfKr7zn6XSj+ABSrEfCqgJm+Va
pCLgBFeppeiwfCygtECIXtPS4BTmFNbpsRr7mWvc/Poin+r4f10EhzvqLcZx9lTF/dBCjiR8AaWq
AvDNWyU9ClJPJj59d/vry3zqrf15GRs7gkFT3BbOp2aRFMKlChAc3LX3LrtT9N8MeH7y+22GE0JD
IMbH9fmzqtzByjIriU9px4O2ceTLP/77cTFpfEJ8UJNu6ePH5Nl4+XWzSE4OdYd5Nv8lPvuPrL9P
84+/fT6fvmts46qvsJSeSMRSknmEmJ8oBowAXwkQ/vWt/ORSYDOw7jlMqQBef/oqYscDLzFm0QkG
KdO2WsyAEXvGnG0YnOWvrzX92X/1AL49wh++lukR/+HpEmqQtLYVx6dcn5M8h7WaV4s1dWhXv77Q
z27qx+//002ldugypPrzQhDT4XOQz8w+Mm3F+W+etZ+8l4jMmPJNVl9d+0wp1EnKzth401Olr2T8
0vZLU779+nZ+9jj/cInPj9tYmZyVTJGeUucllE+G8j94nCc1tw2jWlPNb72bH76XsIjN2lC09BSy
AuokPQ7/g8ULDa0gS0XntcFR+fGbT5WU872lZqfRfunsq4Zhs6h/s3b97EvnIbZN5ivTqO1TH5Vk
yjyFJJyc0C+gpMK1opqXFgp0vkDR/etv5CfXcgS3oam2YzPM+bRO+tIRuhua6cmfauol1mYfFkEx
yzhjXX+71H9bnjrN/f/c8iRN6H8dX+qv2d97ntMPfu95an8I+vKUOSg+hTHB+r8LUbU/TE1VNdN2
mcB/Cxn6d8+TXF/haJNA1GIs+wFIhKuRHjkqVTqpnAr/GZDo44v7zS6BPdIhyshmfEmL8eNjD4K7
wTg+dCeRnUsUQMDaf7N8c38/LqlMlZlZ09IlwXiaKBrTg/rDq0sMW6Q3NrkplRHuAvteEfgeLpWx
UeW5a68qdfnDl/CTUwgy3d9ccfqLfrjiVAoHRAE1nEPAB6PxrGEIkbaVYKTLqktXZs6urc0c+LMp
Ab2srHAoloWEsL+sk9pehiTRP/eaq22JjZxQNDTu1CrTZ7rjH0wC17EFRPOcCPZWid7JsXucBgsZ
IYtocw1UYx4xGeQvmshOfWdZTqnuuOQ8+j/WupoS302wtisvD7K1HHpo7VMyvF02aFlHZq6Q0G+U
Du8jMfJO2+4xxuLbC+DoEDSPP4CyWTpggQihNwYIB6Q/SNrFMySMG/BG59bXZxrQ9lRMScEE2mNc
mTW6cldOSfdt+twSfN/b/qa1x2qp1tUa3MHayJ2dD4Vp5ltZR91XVmsiZ49gvscbuxbfDNFDld5k
IEk2VoFCn2p/U9BCrS9jTuOEWJGyz06xZxxqodpXaTKaG4N0H4pSvXjF1HjAoXikA3TI7WDbR92x
dCVNnehqGK0HNXYtSnKAT3hwVyX6PMMUX/C7mcvONI59buykpi/aKD/U2EZoZG8HPTgLUEypLBZB
TyrT0B/Q52SLegRD5JndvmrFA0K9pWFkKIDS8c6Me29GwCsC4SY9p1G9pmS/isZoJzKIKH0Omiiq
GXcWvZPOqjYSCFfjZRXad/SFmIcrwltpSd5sm6ar17HUqosTFMMBmyOiI0fbx8kXV+lOhu9cVw3t
BNVHYOz70IAppWUcnJtUuenaFAkbX0s22VEDl0K6/mL7tDZVK7xolPtukzRwbVTadNaCOvWCbRCI
cd7SGTbWXdmuBMGFtUVHRBXk62Y3GGPPiSwI2u7pSNVx1F73g39tSXVbdg0mVefRiNJ5b5slrQFF
n4dB+Z7qePoouPWOwmaUlC7CoKnQfhX4fFKaaIWhUrLZLo1XhhS6jrtU6cia9c5+0B4NaBSFmax7
YS7J1J43vdxXFUJmisFqrKee2BV1w0LrlC0LxWVwvJrWP8pe3ZCrwtXvDYJRNd6QeTE5mlC/DRsI
MOhh45S6ktaiPii7qBpvq7xDFh7XVwEpuyGJ2mFIh7yRIcHLjvbiNuEL7eVjhq1pRu0czTv8viRi
dMnclK2z+e+m9y1CT+NM/J83vauv7csXDm9fUenUw/bL//nf6vef+r7jiT/4d+xQBnwV1DCs+N93
PPUPDQIeW6EBdYY00e/WC91lL7RIUuHMMuXtqRzA/j3oI4uP3Y4ZAhsVh7R/NOcjb+/D9jBteSjU
mfZRSTBs5K/4uD0AvMl1UwbDKUjP+mDXc03ScO5r964ftW4mBgA+rpYenDG+dgbjdchjZW4ro4pJ
ixhKcpHx8tburorcky44sPeK9Uow5zFu3HuSm+54ld7RJ64KxcoxNNlPcZ7kM6eytLnajWuhJQfk
kAgxZeviA6DBIwr0uFRAzMGie8uzRrIlLNSVqFs1SK2zTDMfCS6794bxlYRQZluRu+mK5i4K6nPp
GnDjpbpGH3ADyhfmW+9dybbeZV2bzwal2qsOncIeN1rSZ9zzuAihwhUOa5gDq9xyJWrtdJX6ykOT
0xUj8Bo1zRWV12o0ILthRJdLmbJVj6wjYVCsCgfrh45XXjXUL5kbnKpItWYe6+DNSOpe0Eq8a3k1
H4seV3moB3PScfCSpWSUuIr5lIzgsaxO2ss+EPGOaCt3UXRqtVB6CRktCxdON433Jr7XYEwR4uNM
V5sbC4k2bTnzviwYPpGeVhr0pppph2/MDClnbzEcvFO7ju4GlpAC/FlRC+JkQ5RnDCC9kEQZ34uN
hcwYvBVtcKDFvYyqYS3ifjN2rbVs0K+zhwNJF0Y7t0eJFxuRs2Gz9uJ++JqH5jEWpMqgZ3seyRSc
oc6jxyabuzpNnwPk39LECBJnGOar7dA0QBHtkE5ousE+qiz9KJ/ixtqjK0h2jpgn+b54GAxrl+QM
+BJzeClUs7gzEmTbiXGt4q7v8m7baP26D0O5CUypz5RAbhCDwVEr9P1ABu3MVVA9D8rQz8bEuVda
7ABWoaw6V8NE1DrEjeF/kd12dMmhEVluzQwvhd6gwGwr8nUQ+GSr2uM51eRKb9jNFCQyZdncjzTD
Y1N7z3Q+MxnS7HOYPsvoDjX2k5eU596PgnlfO5soHR+rkiA9kfkbZlj2PGaIk/b1LmmAJRJo9Nji
N6Cx/VIPwZJUpb0bkvsS5E9WwHlG6kynIkG/OS7j28Yo73xqy1nekCcnbEIhSLTPRzWf1fZT4dL7
LRvrWOb29egba6GTnI7fYy0GfCpN82w63jXm3JWtpidO4Kc+F4QrWKN2IHUb3oSVHsaovdJ0bxWl
XyJ8mw1NtWXVyXUWdORfx4a6yMzhHGBjdATsNRcUH9euAH9X/Vxa2ksiCfI2RVTPRWWAg/K0GQ6B
W2vEetVnsT3TS/sWPMgePffT6PjH2O0vuqas4bER0F64X2QiNonr8BjZBVCqhAdQThaAfilD7Suc
6ZwXSr3lMX60a+h3qsyu6gAduat/ccehXIZKd84kU5ekUo259DSIiZL4s9jymUBj9cUt3MfnIXKv
I6APUzcYsloLrCkZVEAdlvvay/oliouzVImLkrYpF1UnJNF/hbssQ3OfO5VxHnVnjcXWTy+SkJGb
PFXf5KATgxuNd2OWHfTRe1Vp1DdxM2w4VCjLOtKu/JqIwyr3K1wTTFHAPXzNcntcNgARQE/kk7Om
cGd57fIJuDagODMu59IoD6Nq72tN3QWNuiVT5Lpk2IMPQd9ao3EFrHifJdxlEBWLvPYFAxjFgPQH
ldhPGoagxp+VzH/rXJNt+D9v+U/N6082/Olnvm/4Khs0jUZHTLl0nzd8i1bwpPnBi2nZ7Or/LnHd
P5CyUhRSePK/oPr6a8MH1DuRe9D2EKQIjMn5J8oePJp/3/F1W4UugNsX1+9nv29clzjBsl6c6jB7
lG5qrq1IV/YauZkzNHX5BTFEtmlSw72aaBerLJtgK7zNJV588sR7ZjtsRYdy8mcYTsTRtrPWbYch
xOnzY8mQPG/ZvWvnTaVgWGhJt9HhvSKc6LaudFboNsSCw+yaNztGczYkc7sz7rq03BiBn94CY2Vi
lOdvFuFNWZPflSpGGINMJGa6xVuM+5EhtpFS8nWbPu/7ORIRXkNafnhZDOOs6NZeWp27rL+9tZ1C
HMr0Jse80gOvNlvkm0ycbqUNKaHj0/vv0PCaFZlyXcdOjJaEVSKZ1gvC10hyHWx7IfEvz5nRkFkm
h7PfG+WyZMmpWHp8s7hyprUo96PHQNNv68zNFwrLVR6ZrFujd1cypg2KattYtOiTUd2gUv0ipjUP
OyOJlf0lFeGUKviUsDiGo3sL6tbmJWbdLDVxm9uhNhv5EmrgJfN4WmW12nwZpnW3YgF2ppUYlp06
K0xr0Rni7EyrtS+DSwCQaKYkndPthoEIWrykAATynbDSK2cM9u2QeVs9rK6bib3SmwKFSZmgmLEw
l1gx0VN5vLBHwMSUo7AqU1cj2NSt4yraOFmJKCGtnJOr5cMaGRDrvQVFOC1ckPblV61o2SZG27so
DcXjGJhvLhHqV8WgvcfsJdastDKx8MPphOWX5JikkxoqIkQPRkK0SuM033lRdvJB4MxF7Jw6Javn
lgVCxhsy0oQNHWDTJG3RrvIsp+bSR/T6AfMnuHkINE1CwHp8Ca3aPFu5f8+Ev5mXeNwQUKULAFZ8
bh4fbpxOfthqvLfxo7KpvCaeXDco43ZGqlxUJ3836BmSnrxuKIbnaWSVc1GXLL+AOXMr2fX4Dg1P
Pw1qdDL0pp+7UwkvsvBBdPLOhMG8qbEQzn3Fvitrj7xTVTvIXAPN7DRsvwXso0aI62SodwJpQhGF
10HgLa0mfiI6+NV0y4xalGPhUOESBlO0KK2OfqlIjyYEZ45Xyo5oeMjsgnli40JaTb0JyKm+OaQV
L6p6eABKRY6GSrAMzrtZVo/EjRLtGckR7GIqrrq4e/X5rBkB5nKeWgxyMw10VJofXbgVloMazdcr
qFDyDQAT/KOC4OYYiirn1AzhGae7AYPl4BJEmw7ml7ozIelqPdqG8FDIUkNZkkRz4qNJXqyenbDY
J0l6p0bjvUpuLX8fll+DWXznHsseWC1/8MIb245QxYiALtC2zSiu2e2fh9rNT57hg8/slX6nRIOy
zZKuXKScY9uouDEa5aufR9eOlZrzPDGwiBu6rLbS5reAJzY3HGCXxFVzjNeVeJskMIKEls4gqFnE
NVbjTMmwdKEPJPAAbQbuSvsUZriuSM2OF9iTOWN7/SXUcJNJU7w5I+2B/5bW34rkaSzyn/fZM6Da
l+rvpfX0U993Wkpr4ASIU9H2w2L7WFqDcaVIFriENAro7zstVAOD/6RS6mJVUu3JAfFXaQ2BQKMY
/nOjtf9Zbf0tIeKv+dnU5LUZOVDFuyD8eGY+jR1B2aYpXk/1ZMZdHW2gtICldoroGMp4boy0yvzx
QQIH0Yo6Xnee+wDOuZolvkQx4q0JR6ZipoTFkecv9ay8WG0GVUTsG2hjVtJv9b5ajM3GDJWnzPN2
0lvhqz6poesds6By5sRQugtbZfIcVegOLRK/qSIRDDSUPFi/n2xD0nDTFYCsXf00Zsmm4/i/0M32
TP1B9hGYFP672I9tj5gS4RdReCAZbLq+SjOAKRBfg7x670btiwOsFKJPRJq41t8kTt/NUW09dYPy
UI6QS3rWGsIzHQzN7lVqDcNeMaJrSwUB3NMcnfWEhWPs4H+U1bspG5bsEbpPqy7wcWqLUAuCmZSG
tkh8KOJjpr+J6JFqxK/gDFeCkE8og9Zk05J2XS7oKQzG3IywuaIjhai6yHUS1MtKr90XNTCIUgz6
ElVH2vpAftJog+2ioDRWmkmBmi/FRDjgpDfJFBxYxcMQIdtsS+g4QUkf3OvqC/pUmEVjXF7aTA/X
8HoK7HwxHxWArllVGiSdFeHUa41I6C6sx2wstRl7dbc0SsOZZVkFzKzxzVnvQumTruQ0ZnfDBem3
gd86pK9HLKifWdnORe/BzmgER1YaMj3dptr5eDrXfelRQxoxTq5C4xSi+Lpcq1HzrrmZAzK7aOgm
Sm9DnOhrC2CXbrgLBZutYqYWRI0HyJo3hrC+unSXZw2nKuJmeVRppWxj0VTzzAzjs6N70RKWugXJ
n1rVBZK4NmIdb2xbmWvHL74mvequzSnZoCiV+GyPmbfjkyM3RXbpizPFZ2pDIDZSYJqphCJmKUcB
Ohl1VC5UmyCspFTS13zA1ZfBy5tVUxpq7SjlvrOzjoDOply7PpJvXOn6Oq+teMmXZ9DVNN8DpqX0
pn0c2oa+rsAZ+TMBZBhpUO7PSscxXkVCSwQaCN7+JLDx1qOBYZjRLqXXqQp/ZWrBI2riV945b1ey
qG+6MUrrpY95mzQ73elXbmuW4XsMJ4sYUlW7ZCokLQxJ1b5mC0VAS8eoFP1tzGwBDTNDj1R3I/Te
xT1ERW8uRgnDg91jWfmAsdrqSfGKhzibQm8dt1v6CYVum5CsFgqbDOAhvFfT7BySgP48cI4C9Ob5
SBkdtrIcwc/YXIIUPagJZn0OCaXYuo311Y/b50bIVec5MCBd5b0La6h9afAEK26HTvyxZxK11iuF
LPKknBYR98hHQSa5+57xnioNz0WdOLfCMc+F6u9yArFnaZld4b150yz3oY2VfqGW/bkeS2frlOWG
HK2banTvGIjIpagTf1405bINhwCMcjCsdY0uVJgi5HSwHHdeNS8d/9qDZTWzPZhaTawXe1OMLzR1
8Nal2ibI/F1ky5OjMyfpdY4quuvwpgTlLOVho/kYY5tH4/saOrSarKgON57eosMzGB71hWvsOCjC
8SPBd2aYyatbQb1ORJNyvCnOWafc0CDr1mEUBTsPESctChi30dA5/En0gQYFFEHesybJrPMuCfoS
2kYIW5vp5RmFlJTsXLTOTX8ZysBdC87g17FX5gtHY+zACtOsq9CCDGL27jo31GE5hr4zoRRiVhh7
WPfNEC5lFegIBBNj6Y6hhdjTfCd9eFxExrhF8XqiBbRP9PCAUytZ6p3QmFDo8VIXOZk7MF5Wvm0K
xi8S6ILIso1m9ebEfp4Ffjwixwu0taZPs5WQv9ZPeGu1DgROnALQsfx4QgeySgnonuuONMmLWbbm
RM3yZv+XvfNYkhtJt/SrjN09aHBoN5uZReiIjMhIrTawTDILGnBo8fTzgSw2xWWxp8x6cRe1aWsW
GRkZAo5fnO+cNhbOVosZ68UZzlxlgBNonqUW45n+T5P0f0YKJnqDvy515tX5guiM5le7cx75XbnD
lJ6ihc0xFdQsmPhuk0BDz84a/odBvmQJ/HWwAC/EogDPrc+zA0qaf1U7zgdAIvQhDAEwAIPS+1tz
hc8Rdj9UO0RkEzXn2Qa8LEXUT5uEuh1tu0s87dK1MyJ0in0X+aywUgdp38w/JO6402YigoHUtU7R
tOxmWqIHm+hnfoKh9H6aiQo1sxX6TFkYM29RzuRFBILRg2IUIBlKL09ja+6nmdVQM7VBPvzCV+Z9
AM6RzVxH0KQ3w+fQZpAPB/QDHVNN3o9+LWcqpPfQBFdxRaaE+8dgOcMm7tVtZsT3riDdZUommHKN
qVwmyyerJXMkEmqVJVq/iRlMrBgUbHAzbsH/qm2faOwJfTaHdZsd8Cbqo5Xts2Cd0CprK3+wXlTa
aeM1d3Kv2+A00mO/U9RNcdeWsa5YGwgLWa0yKAd6uVECn52uHrM11n0u2k9z3dksAxPI0zYm9E3m
KS0J9sStHn9qXPedGyoBQZHHhr25TLt7oyabhDWOXFIkoKEdi1t3EMTDZsZLjPqcIxQpLrpe7ICL
7sLx6/pQ6vkbHXFM95SG5JKTBs523Mks47pMAoYenDCrfkzu9JAFgUvthxeqvmIp8JRbxQM31OKs
pqE46nk0LjVXrnOXjVCg9nlaoGuotxmESyrdw2D7T9TtTK0Tc8T1IN4wa9L3omXgHPK6EXMP0DsO
wlE9ncwlv88je9Lo0EWokBVvHzYhvjYTTdkZYc8dExt2OSzRydJwL6zPkvpmVtcnn4X2JHQjuhe9
d5qAgfSaCY7uEBgezxr9Sum3sxeMP6v3J6yUSuT8GsBBWTvXduzuIdq2SYeF4Kz/7wABGi87DxLs
bTCwBAIVsEjfqHs4qdhuwcTiRxumwC3CbQ9jkM2wgYQ6GKAPFBRCBY1QQSVEjdiJGVOIZ2DBmdGF
CYZh6HpgBgHWMMA3ODPowEfOYKCN32NunV3F76aNgb02Z0DCgZQYJu7kkBO4WbKWAqVo2vQ0wVZk
M2QxzriFqVm3Udu/5Vq9zuq7qiVsnFn7dQCnobhN5Wo6QMk96DLu8TuBKYPsiMaYUoWSnySal2yG
PzSXu+GMg5hwIeEMiIgZFSlhRqQvirVOHMTkTGzwujM2y48GlElRa6sC6sTw7DciR6DqZh4lCM89
fEpZ9ccQXiWdwRXdGDfljLJEUCs+bEuc5ZgzUtzAxb91M/5i9v5RzkCMCRmTpvwzSJm+AZnpq2zv
wdB0s/3LDNUMA3iNO4M2yWfmBlXwuHQ+kzihPlM5mhM8x3A6uR2TmTeTOwxowJKeSUtiSdStQd22
sem9NBA/WWtphKk0K9ZuywYmqArUE1NBKtoMgrC3CDiAH/JEiU3KjBRVlfkUwRixdcdUCeio8Kxr
EwoJrvPamLGkcepO9gwqDRBLfk4RBfu/C2GZIi95jI3kiOPXvYsD0yLF2LSBfjJUegqpBBK9fUwy
67aaMakMXsrK5uVrRQKZcR5moCoYRbsgXmaXGoQwwFzxJTkUM4QVQmPVvr4hMQuT6rZ7yowS2zqk
3h0EVwHJhQ7jgrCwWVGj7cmD2ekwX01V7jMYsB5fJjklx0E2OBNP102XNKg1ypMJPTYovrJeBlJc
p/c+fFmCvZxV2vsG7qy21IE+Zi/M8KGDS7Ph07AsSSld/U1nI0yHYEsg2cSMtE2wbb5RHUdYt3yG
3mrot7BILgjJeRmg4mQaIOsZWQsXpb6MIeesLtrkkHTgnBcRZN0/Y5jPYxjrt+uO2yJ9/ZW55Pyo
f9Ul4sNMCzODwfTD/rEuMT7QOHom+QVIDz77Tn6tS7wP8z+1AZ/RXqKS/2HhwcDG1WfsmIqGtIK/
U5gI70fN3WeJw5ztg4zCsBHk6/zq3yvgLC+LK6s1xrPXBNWVG4/ZDbdz9wnXeeMw9gnxQ6JxN17T
6ad+VD45w124EnbHLFj2zW2oF+l2mkAwHVn4a1drqnUeleGaHeZlmoby1JnCP9oMaK/NoeHxHdLH
VTs1MGCFGnaaJw+DQU1RNyFO4cpMPkZcHts4732IqgnHflUPL1kYBgf0ZJCwRDutjFznJut5Cs50
fJAG0GJqvo5+5h5aR3ibhoSFizzBba8qcK5DsuEvBwzrEBgSVh4lWBI6JC4gYmP9YsxdJ568Cx0D
SANHw/hdse20rps8W5XTFPzhxuo5HAIfdqjjCFaHuJgk2E2e7I1J4hVMWXoViOBJT0Z2kGa1sVTO
rqjU15HeaNvGCabDFLTmgfW9u07N9EJgqbtHTCdXhPNY2yTNrXWHhGPnCPbvkR0khzJTlG5Fdz1V
cb5QKaPVVrOZu9o2RJNHCRjIy9hkXNWNvDsamSc3UY91dBYJca6ZzKxGt1d4BtaH1ohfSuUyak7x
uETyF69FwKETlMSwsaMN11ovqlWqJfrGd8QutjT0IOwcBhvXyCbBJ21q1Sva7fg0NNa7lrCZwMGm
WGQ2bnc9ZRfywVvHdK8zl9MnGYat0aUPRtw3EnoT37DKSM9dKa4KA8QsqNn3m9Feafp2YFuzABta
+4rncRxCftLOCk5YJOPxlmcXtSnebbtoNwzqbruQ0MWa4ci8/LcWWaaf3UDu8qzYdqZ9jAd5Uljh
hQIt35QGTKR8h81WvJmC6JxNEa6nmB1KmHUM3saTTQSjSrR7wjFh7gaLiq/lb1r/JTOqN7MX5UqG
3kcm+FtWMvf49CPA9xVotqrBsXOO2csysQukaSzyPlreVC2FCWi+8YvhKHusONcuw5WjcMqqXbRj
WhyUhPZ3GRAcA9iy/T+H8ZeZOI3bv2sUq/y1+vRLx99Z+/v1UBbWB2HOLd/syPW5uftXsyjcDx5j
ccfSZ+nXD0Jrm7+hI8SVHrfmH7fQ5gcSWudj1MbHGQnz3+oWwRR+2kKzGafpdFybVpF7wM9Sa0lA
qMILOLzUEs/Adz1r1h6JH3unw1Wnq0zu7E3ZYL3ljJrrLhFV2Ew/+7KO7/F1QDc1Ycp5mVeGtSJp
MSCd0XH17hqutxhfW4RYc/rkUE6tQbZmFxuUM6bnmcOKKDYkTIkrymnPdLcK6m2jtDS89ZqGg9jG
7XyRa9xFFlMwxXdZQUNlIdowlikpqbehwN5qYcRxuFGEqE4Fe9DdGEZcz3brPuSiY35M5dw9KFQs
w8K01TQurRwJ9lKryxziTHlXZtKpZzMr42fNVsiCJcazC9Gl/tnVReAtUi+OTlONKG2Z+VMWLL3I
8ZeyMPZ5oGdLRkEtsJebXbpO3t1khgPuiRWxBfWed7tW820idErvxWBONiFhk8VE69A6w8L1IttF
rJy6N5ogIHI5NVm0Syt3+pgZmglhbyFrXo46HQnBL9KOuSGyzsSzwOvMZmtXfCA1+mKte4b/FoL5
L6N0K8ZWN18zffcnZ03BNs1iu96cJrmTAaNS7ESrYOvqzXRdV138Ysq8vpZu7W7i1BEs2msrvMt6
dSlNpK1Xhca7eZVrQceCvp6FYYFftOUe7/6WgWBkxM9JWht3g0ReQ586p9T2uR6lO/1zgK3mzWG2
Ja30cMjcyOrfERME7xJpxham34fZDwnLjebc3FojQTfTQLYSL6qfQlOo6jxLr+kXmi8gyj8jrjn8
8/cn1yp6D3414eKB/zq0nJkOYaYMz4F6Zla9fp1wcWixl5uZLZtt2mdVzddK0vxAjTfPvr4Nv74u
9EBKsMnBYAdXKIzP/uah9RNLwa/ED6NepZRlhUiFynn7fSUZcdXX6NfNE4Qe8207KZugWbaOnRyy
iC8vktZuclkO4Yxh4KiQE0jcFv4qCHOa8DZ2X5OQ1ISmJHaqfIndVIgrdJ7YccYdKpRF3eXynLGV
PwRmm0Z7NPbGHebpmr0XtV5pCym15pz5pn9IRkdv1kaSxOI2cpHmXXBcpfVHmQdQBZWpyGtjNrbt
yJR6p/hhNZdHLTMjy2uJeoo9sZGlF3U3TTk2eys1GAtNU5hMa18fW4ScLoIStwz1C6OV/kVVlijL
cwx31uGA0XJVVs261cfowm5GAp78SdFw4sv72tY5uhmr9BH30hZMyyQP26vQQKwy5i8w8B9jh1Ye
ti1bKsd+V032Tl0tsFbPSusT9jD4caBuKYN+D/9hb5pEazHyCpxFZ+hRtOwTElXZlbCgYDjwKLQI
b52k9z8OEfYMtZkb+1DzwyP5ZNkuEZV76ZbtsJ+UKrcWZN6y6rissyRn/+KxG2JED0nf+Sc+XLVy
Gg8f2dpfeU124bXoNWy/ck/MNqd9YrHbIrCbcZ8Mt26E9KEKDDZYoxcvi7rNcaZIVsqT78RgaVuv
m3apoDMn+mA7+j3GHnWWLAK/YotgDU8WbryrpJ8IbyVHuxASaUMzLJuwAsGgkcBNmh2RTOdMKjA6
hI3KOOtBkoDD2OYNiRv5e6xb1SEro/wx7jBGJiAVT+Mu/pJn+M+pZf6++WUwv6le849R/fFXJ9f3
PbCBlB+4EEDadcRn+d7Xk8swZ0SNebZDkh+6A1QKX08u0voM6Vq6/PaoryeX+4HRPKwbTfB/hGvj
xKJmw5HTBLH+qQO2U133Yr+azlPzWHo+Cpo/72t/SUDPP+Hb8H92z7X4GbgjkSBBNUfL/sPJOCnf
UYMyackGDbf6DTkwrG+xHv4Cmvzl88w/53fPw83j+xMYe2pVVpGNpAL5uaiOvfvpu/sS8yuyFPLv
sX34id8/w09rjICVOKEyvBJjcBedde+yEQVFltpZth3GOQThds+q3bXRVUOGnYjeKQUDjNELeunb
gEFwgw2/Haw9PL0D67qNb/ssxIw5+zdvxXw3/O17wRfr+/fCjDQfa+T5vTDRGCJfVI8tGdSFsM49
ZjLkpC2i8Q9XQ3TC//Wc6Isy6S8/C3d+gp8/DByFZyhTxw3b+EnfQuqsYGbijmdOHDSiQlbpMYEn
ZnGqZgJOxnqOuZPnHaqhJj6xvxFp71CnFcGy07VpWYEkLAzV6ri0BPqhlw0b/jQjDNE89L5eM+HT
YnE/mFm8NRMZeyzJm0VOHFXlVHvFEgLXm41oRibz4zaczp1DvFRA41pqi9aZttUgrzLjCneHjY8T
EHLToL6rA+9k4stdkQrRwZobBGARkAPbwB40VsTQ3xWKtb7DcnQqK95EQbZTe3T1bN2r3Vg+1TFu
Vvjpln1+IRrrOo5PMbk8HWj5fWanC2VO5rqQd401w2o2d3c2qXYUWJgClN5K91j0Fkn63IDsZxl6
RWkTroXn/JdQnL/8hD6T5t8+oXn0hbD724Vv/XS59JGs42aop7O+NXf+fjo2j+YW76JzvRDHZsd9
fO2t5HLcmMsD95FNsRqetX2yabb61jlFm/j0+6trvni+/T7//Zhgu/n9V9ZK09bN5q9skewJfcr7
VVUvAGj0L2X2X77wX30zvz+OfjrwvCib0pDNwlnLF+nd8Kmc0yaWaIfoon7/ij7nnP78kr6/COZG
9zu+VvL6K1NGxjlks3mFjxbKT6L8+ppmaBmc4SZ+/4S/OgFRldM9e5LeXv70kWbovlyX1OxzT4xx
Pr112tXvn+BXB+D3T/DTe8f+jh4yMIwzufCzTqzXlqz6/s2r+HdP8tMpKwfpTFjoGmfZXUzloXHu
DOfl96/jV7ek71/HT8fjyL26It3FOGODymAULZdzI+NLGQ5fXst/ujo6RR+roi7+aP73/JM/Fmqs
oiBs/u+Pf6y//Dl4L1avzesPfyAEgyXVdftejTfvdZvy0C8XxPwv/3//8k9W8Y5gi//zX6+fsOJm
d95U0cfGoA/7iWOcacHfN3WHgmSP6BcpifNDv7Z1hg7BwIjfcQzvT8Xlv4ojdgdg/Yyh6LwtlAvf
iiNSEpmJGS6zoa9rhW/FkUVO2Zcfhrzyb8o050Pn2xXMIUmRBa8BlW+ZM4z5020MV/uMeKGxOo9a
57CWNlrBbSnPvXjvMNQ4RxZHYeiGl45dbRlv2Ncl8BDjIf3G9K2bpGrfC53ubRhCnAy7i9AVm85s
j2icl1qH91kujl4u0JqDV3bWAENpHnUC3RZmm10alrfxkWnXobYpRu2aIPh7d8wfbRoAzy9pJTzs
9xgJjfk+aYtVqGmzZsfc2174gF3fUrP06zFJL1scN7E0vBzcDo2AM7CKmxjXCLxQg3sbcziNV7RO
q/5NRs3JR5WGev3FDOgRm+aQ+86mMeVFZ5WXfhheygKx2wTxEKpLBusLs8B5dDAeCcPchTgGynFc
MCA/xyImIVysuxZmsZ5Wod49y6i+CsP2FPTjskOCaGHdhWfiZWUgrpJ/1JU01hl+XrgwtodJeq8+
aSrgFY8wzHutlqvOrm/CYEJ3FK8yNS0cVd2ONfHG/hCdA9vdJS5mnLFzb9fZbhrrm8xr3nJjuNS8
/DL0y2PnZDvCeQ5ZNe7akjiWQM0LjkuKGPYbcm8G1o0bunCoBN40bo6MLO1PSYujnRjZmPrJq1lY
N1I5yzDyxwW3rXOrNcfAyFZT0O0rIlCwv7uJ5bAXuv9gZSPiE3PtEEy8KLGR82fDwtDXy+W8HI28
lHytvsRTcwSEKSLn1e3Qqqhy2HrKhnYZFNtymtGsH97IKpYBpCEzgnU9yp6WvPaqeBfLPNw3RVXF
Z2uaBpxvcfgzt2QIRBtJEO+qG+o9Hmz6tijbFKpA3SRFow45KUTLusSfTqTCPOFV1q26UcSLdACB
ZGBASqQ5xTeGMLaJAYyOZGAX54AGpMYRzRMJUiFJrl6KvCXBR7nluvH0eNlC7eywgbVXtTPeRtZY
rqDWhoVvOslmaokRoYxC7RrU9x7M0TpxKNjilIREj4XEFP/R2z42Y5pxp0ETFJ65AjA+T4a9sSoI
kTrp6Y7RV6T+ezRZJ7RrjxoCg/hUtQ3BaaOFrlUxpTCdYB1lxbVRZA89AXIr1dVg9cieliy28XNU
1luAse5Cr3LSNmrk/mS/Ac7PCZFDjD8B7myd1WbLriNsJzG890DJl3w07jHQfuf3R4Va6PVyHE14
BMXCHwmdWtl5DPKTUGp3SuxUWq1MLzp3YXbwsv7BGsY/Wlc/xNI7WEUYbQYNE8wgfIgmbPCytLxk
JFBuso6ZgtFqzqlIfcyvQvzkZVKvjbAjy84iKxOj7qc+JnWsLrNPWsFODNPS2YQxyDdxMux9Ld3G
OooCOXVIuHEFxsDuHOnuGwK+t8HCUqcaMr63rsMikP29G6a7wGOaZJR4kSoEgqVpbP3CeGqwmpwD
15Zlbe9xG6gpoqOnMYBYlprF0rLMVg76cQKR37S2WtWGMy4Hny1Z7j+aAfHiI7FHk9HqSwuzQ7PV
jKXVsBKaKnUXotdZ6THZIHgBzwsm/8lEXoxwy3f5fpmbcrYclLLnEo2ScVkUXJZV72F/Z5p/ZDq4
b+cHM9pMSZ5EpIRm5R5XUYffrTuAZJ6HDGUoOzwEpua+D3Vgy+4h1/VD03u45GqSwDVtnCmb4ZiE
+m0fNBd2Ht6J0SWWL8bltoq7hWf15soZtGPUeoI4veS+CgFSIhRGqxQWqr0NwyTfVH0dhEutIHS+
A6peamRD7K0GKSaLvUWue9oWE2R04rmKFnmdFZuhNcDkR8ZyNZMiMaTXUUG/9vkW/J8uRrbvxeVr
9l7/WHz8T65FZperv65F7toCYCR//+81zPy4r4WIkLPkkfwLx8AGDizk23yZGgVpJRoGHM8oQ+as
y69TGu8DI2RUCiQQ4S3DvuqbhJIpDf8BYQMzGinJUvg7SoUvGRXfKpE/2yMWb2JO56C+/6mXEIjL
M63IsvNE6jiKi4XVocgfyCOfoNNQyRBRDjtysubQcibfO70V2wjb8LDV0NnFKy6e6xxLxJbU875W
r0lrPRMSxQy2OQ2TOAbS2k0h0H8yB6eHbvCMAc91N0eqO2SrS0q4JZgbiD+p48tJ9OlFNoexpwlc
ijcHtBcktbdfItuzK28OcZdznPvkastKJoTH2xvTF/CRyAHnAHgl46dekJlZkA2PBUG7MlqcZZI5
OL51ik8Y/8ULewgbzmri5aOOoHl79I4NyfMmCfTmOLyP1nTixH5LSajvx65AuhdsC7LrHXuG2Eiz
t0m1T+d4exna9yZBkuzlXvrQ2dQd0/gKIcKil96VJSsMaSha+uQy7uON0oS/bO0+woob0FFU2qOE
M1wUk1rpdnwMK9CZSY0XaPibPW4sSJuSSWxIqScyMZYvg5tdYYuORbZXXKryWi/MTZZE69EVZ8z7
Nq053Iz4FSBpx8SelGlT4Eydak+d5ePkqm+cFvRPIvrbmWn2Fo3tPWoB1A2k9C3EEF+OHW8dStNr
ffCHVQ2v/lBae2esmYM0HtIEs3S7y0CnhuzR0Ge2Q1Jc2xGkSH4Y5tgE2tXpqinzh5Zfw0fpsUwi
bVhYfbG1I1DPyiMgUR8vyo7PIY41bvC6l66K0QN5G82byCsu+t7/xDwHUsRx7qzCudGo2pdo448y
YwTW2m64DFWZLqIqvNFsf2/HjYU1FDbAQxnfMQj76OkYZ/jZdRYmn0hqfggkJz8hBv0y4EXtlC/I
Q8bMAy3IECxdw9iYFoYakeujJI4SvG/a1cQIzZ6SrY63Z2Igf89bIiaNun33bFutLIf7j+6qpwKS
RgqVztJCIIQUH1xiK5EiDwKjnboaKI1csZiGsViwelQnXAPuyym58VXrLS09hqmMNIF43yPjsM1b
3BeKCx1voqMASW29+ily3CMWXzd5V0RLN2KVoYlp2mY5WsIcbmgjx5xvpmm8qLy89To+eLsnKcSe
LvXW/+R3mliZnU2B6d20vb/rzRxe1ff3bqIBc/ClZ17nbYYJlW8FaYMMJqkXqodIikuqOW0aXwNz
gumocXROeUcXjVYdmk5b6Qli15HSVqRZdEYsTgaXka1HMtNi3Jfm21UwvQJLvjadcxcM3V2SCoYW
3hX9CjZBAUU/EBgVf6Q9jB4DlCZ11+HUbMKxcw5sGAj0E6hZWpv6KdfGVz7X8UDQ6xofewu5JbZU
hma9G0ONMYh2wqgX9pkE0DVSp9diinajauwlli4jHxeL87F33cVYFWSNlv1t5vYF9UdDDiHan1lx
wu/Tpfmqb/kG8t//MFJYtNFO/QUwFD7xqXZTtvp7nfGVsJwsOhSue6+q8rJO0Tiii39XCgEN4m0y
75wF5tvWOu+R2DqkCqPrrY6+QKGTkzDLtty7AHrLF0nOt6lt8mcrwzKj0DiDg8hDs96xvWHKvPOR
je8KgTmJE0HlcTRaSbQpqXmWiJ1OUxOe69TMFvS+aJQi87aPMzLqreKqrPUtirQ7HKZxthG3+P0a
y2JCC6wX7itpoQflhAeDF7fqIx3HGL29R2crlj5mMwBqXYxMgS81seLPnTM9V015E9ZWsAuI2CGK
uJ2bK/i+pr1VHnr6KuHzNbVi5ZlVv+zdeS6dVW9xlXJUUKSH8sxBtw1KUgcMq76jLn1IjOaxKinJ
06R9tOSk74TRi5WuG2Tc13G3ijzCxMYQRWkRlDRIwgSti29zQk9ZBRYrPxHPfYIsQ6Yx2wCJQ72E
gTOVgxzaeOic674+TP5TH11YoXmdx+WCQfNDrGX3kZnx0eTNFvnzpaGQHalU1MROOO+Cg34tGOri
LM+lTfA6abQ00q4zRThuRS3WBASVyP5Yq/Smk8bORf1BuBHYzShu6awuwoJAXmrbR7ehFNTL5lA2
l52D27uNVj5wgysLI7VVio8P0SYVbl9VhI/KtE3TKj5iHi82k1ad5Ohqmw6jmQ1y9XgxCRMOXQHX
2f48JQ4OrLEZnDkgnkhUA4kXdmsaO2so3plOhqc+byC4IANt9zGGWt5WTYSCvSmn8VKEerQMaz5n
Fys4avUG93yCOzm/Dn4zybMwq+KsT9q0IwfC2qPlvUyr0PNeW2sct9OAfj5U3sz4oa6XZbDJbHEy
lL3nNDo4Pl8d3HIJetSmlVZZ5gOODJwQXUn+c63twtK6tKw62OWh/m6O+rs/Bm/ccuBGw4H0Vm2V
ee7KQEVnkqayQLlWrHBUYf+KnYEdhFtDh6dvfMbnLKOfwoEcCRSW8bpHgldiHYiT/7RxOm3OZnAu
At5s9dboB2H5N4nv7jStN+jO3LOpBp+5bSaWSarf8/ZzFxfpuxriQweJvaF9vq5qAjK9Gnda08W0
adCJBKl0PGKwfwdv7J/yZqgY/93a1rhyUvsepONqLGMkclOy7y1yk6P0quM6WdSMPESj0O5bHzlc
r4h2yJeYEqBId8obUI8NBxyAlEVDI0V9mYcYlLt4OeQOkkoZZ2dX4rGW+CGNnkzGdTU0fB/6ICVb
YQJCdFDfD7R7ysG/JyqM16kGNk/7nl1yzOFM2g5F7lNVqePgpu6yyLS1iFhT9x62EPGm640brJ4u
uHJ3roE1X9mH92qqMR+M0lMvuNUm4hj5zQV5j4+2Ek+9n8zcn/tYG8OpYDLEMEiCOrJGY+cQPGQj
q3Zy1/dTdKis6jQEwUb1RrJqIw9bC3b6jubct6o7TQM8ZR69pRZmTolI+djHY4f/+Q51aoOnkXPK
BF5cTsZBqIVb3Y5wy7MtAiKMY69PF21lmpgQIh10sDeM+yy7Mn19AtXxtIWGN/wKlBOVUivVsmeJ
RCxPPi5VDaGP3nBXW0axqvT4ze2pYbyhvXJVbRKoDRIdyLo+ZiU2k6XZX6T43nEo+ehNfW0rsz6m
5vQbLi6bFALrzmm0gwNrt3XCYi+ptpBuKRPqbuqk82fQ1j/t2Nwg/XU7NiNtxzaq/9f5LarVr3bn
PPy7rgztMJZ20tA96c274+/GwyY+sQyCpU6I6dywfe3KyLuSPMbjLzwUQ5JHfR0PWx8IwuJhDI7/
1Ap9nZRffem2GLL/5Srpx33LPB3GfYf/sQx+HmDITz1ZZZh2jVQyOOOUjyaXjPN/lweLB/kPE+jZ
aNszKYtsPIPQEHyWCHy/Q8pEoUuVjsMlUTZ75DJyM5AkUG3cbDgNJqwuAZdjvWWcQFIDXqScFY1n
3xrkVXFXb6RzcitX1vs88MtTW2leieGX6ZQnx9EI/LVg84KVrgREW93r1Gm9rnYJgfRrrPApfdBJ
biviPdY9Ablbxh0MHouenaujgLQ75yp28zliNSNvvgiqbaQFKZb+VRFr2zzDjvw2r6bwjwzZ48b8
YqbvAXiv5ReTfZnyp7VQFmxdaGW6edt8duXn/C6vG4jWKiL8fNKEvdCG8MlU4iIcQsqhlL4tIRXH
7MotBN+xR/i+cBvtsg27Bzsx70pZ31ZEpAR59+BwYFA1l8UiiaxjWVnrwCqPRNHsBQmEJBe1EYpQ
54JbyIKRv0cdXOAER4miM8KbivEABfSs4piYntSdnVvKcxU58Y6x67Ed9LfQScaLUJkuSeWcVF4q
AK2xARmlXI9wbIuGNSAVHuVLMwz2Fu+H6aIc1UXHOTRkya7RMD3KUrtaReaEaZFal310yhDzrH2T
aCtm7XAG1d6vopvQLhnr5TZlp5Ywb6bPCmqxz+sB36Ewuy2q5iI0IXK1UXc+jh3n/FgF/RJ7qc2g
+KoOIsLnFVkpM3FCjP39oMpTbxGmJogUXyTonGzP4/4dxPZ8c6SVHCwyjHJMxHJfYrPgW0iQxuZU
cqteglbuiVsZt0Wqv1tO+0kQP7OFrctojkkrXISJHV2r3MsAoKzIxqkGNscV2kEiUdvWnv4x0cL9
5GiXjXDvG/RRaeg7GBJXDMu9eWJxxKfvussxRYuxe6j89RzukDl9siM0aev1jbEqTd547me7Wu8e
xWyOpHAKcqV8QQ58KnQCbaJqOCB4uZr4oZ0A3cJKbrLEtlXaq1GLd00b9oU1HU1f20n3YfBfCm86
kNzibeyYGG3XphcUkIjDW0cT3jZeA1OYHG1jvAr8WCxNI4EHT+Qz5nbPJoTtqurFUVp5wH3rXIa7
MbPohycQdHsqN26o3XlDfW8l3XoI2A/bISVmB+2J3wS6045kL7bhtAkY33TiQWnhnedl95oinT3H
YYfVheEOh1Jqh2HQsbqInQNivG3qpEw63XpFDwF42FrNjdXHB17fhR3rLzQiFGwmOhxS6cKNYar4
MrOGZDdomfFc9J77VHtFRG00jv591vjJzeC7NVusVGBO4VdYKjbhqtTmRKQU6pskT1yKDE1f9VwW
x07Z0WVrTeC0adX59bJVznyFYRRQLEo5T+hL33ubHJJIQip7jWHxuqsdtkvgAlibYMpryZovsznD
HW16QbMZLAPDvml0bJ/Nsi9XQae8hRDxBVk5t5lKaH/7QjFvr/EolNaT4xCP5nSrsqWUdYc6P3gs
mk6+AlIdJirAxCneLAJasX4cQy45kFjLvtMDhetTPCbbYAyOcSamxZj41+STvLWDXMY4kXgxxqe+
pt/iavhsmuqlbhPU3vGui5s/3Ko/pzaiksDHPgqTxmcjbpkKuS9s8BYMCIyFJVAH+n2MHKjO4f2h
OWvfXo0jsyb66bg0PmVOM7ACAtTPu+cOzw7bakiPi9oXivqNqviYEzzKfPdR5PWD3bITFEW2kEN8
O6TjMZf9rimBdLU+fgzCcR/1XKLD/2PvvHYbSbZ0/SqNuU8hvbmYAYZehvJqSXWTYEmq9N7n088X
Mt1SidWz61DA8ACb+2KjS1KQjIyItWKt3/Tr1k2WXsItT47Ny7oez4zKvO994zQL9amtt7ed4G90
eLFYWDu2Os2mHl0wnsY8NaNvYyH8oUNzCXKF4mNM57C2g0Ov6sF+ahgth4Z5pYw8tSqGVOyl1jXC
oUe1ZtZTbObviQQ00EB3SEjKUp+vV1no3RpDAW9ULldGos1FLk7TBX82vn3iWycYA67KyDuirnDv
5O3MHbNpbkdnmoGIZgJcsnIRDVejjWRLM+p1qwbHuknRuBu5jo6Y61kw9uhHqs6R3gwXVS7zMfXq
KJQlxJfNby68wpZ7ol63Vy4+g7DYx0WF5sokCfxzWe9/uHJn0DtIv8l6COxoDNaOES8Lt7hOUjS7
ozRbtV5brGwnGU4URUOPRsUrLvhmutSGSuolqprVizSRlUmm6905hHx/YmP6N4/s8i6VfW8hyfaZ
jPYHCKiiOK4UywPs2ScLRG8eKApCxJI96a7LTdYLfIH5gLzDRNOD+LHncjhTtcRH221Q151f/aaj
trAw0fHSNslCENH45KmuRIaCDpcrnYYhpmN/Rs533Vi+SwFfM6v30LqfMB+f3kJkWu+QMgOr2Iwa
3kKmYGDSUM3PMNf+5/f4CfTx+h6mDC4G+1JDCC+8fw9VbYakcwLvTO6I8haAR0yarikI//PbfKQU
ioQNrUaSVu4hpipINB/fxsvCQbOi1jtroBoXtAErjMqk4qbRzzvU9syKPpTxYlzy76uEQTr866vE
dRkgjTFsaezwZ29XCBWeKW0bBQ0MAKgflcC0g+dFLdD/onXzen/QlQOydseyFJ4hDAH73f3BwXwX
+qlNextsCNjd3+nqQND5kN1zgwAb6XBPUTHuFVn+T+se88feLIoqOU9JgfV1pTbkm0MTyAmCDUOn
OsRcKKM4m+YPRZt8G7PRX/ZSekV5y59o1vehBXafN96qRNevyANKsjZMvka3TuVaKWg90u6HaIoS
Uua0M8MbiPdE4wkc/VNJciPR2K4Ja9lZNdSPkmAfGk73qOdSNveprzV4fcFQD457HQwkTilrKS/O
SzkzZpmvjfRRibEIHFFoG0p60EKUsimFE+ViTCLEolX7u9TTF+lq8vPeW1lWfZqOEWlmJMTMiu6+
s6WbuB7iaRgpV5pR33mwQJbUyNDs1DTzzMPzfK4rTk1dOSqpYHsbCwWpZWWgcmvDrEXD5izTaTL4
o3rFNaqY+E1w0avyUSIbT3qdLKlubiqdeqI6RNMS57oe/4HSqfltZ5XI5V0DGTPrUfFPI+8uq8w7
J4T9iGuZrj1UjvNQqtVZOQa3RtY/RNCGOXEpUFCWPJf4sBRdu1XiB5RPagrEo4So+RAFV0j3nJJc
no5a4QovMhxmVNSBDKwyD0OlKiaGQiOkk/VzyaCfVghlMEPy4bT1ynHom94SyTFzUXiQ+6ljz+2q
vzEr6UjtwJ6iAHxkZ2TpspOc5YMOVjMqAHDmqboc6g6OQUhZJGj8aY6e8DKy/BL/yqSdm63bz41G
lekD8FNrUNEs6P50bQvqU3Nuyg0mJ7guQ3MqlqWeTrlx2mgXw/aFlzvp645iYDdyUMvlYSIZJapu
EnZ9huZOO0RD4BWe+jwKfpNSslRegiw47zz50Ast7HrVkPQBMGytrxyFyByN5k1N/U5OvD+rrH6C
SS5No1FFFLyhqdkWjr+wm/GOOnA+89T8yLXyW6lB0iyuuhvJAUzCn8K340o419roapBUlEJUNOUV
BRnQCsuEIMvX+uCcRToIjXrooTlnHTe3tpv3Nv1Iq4NIJ4WljcRFgMKIUI2vab9FWtlvajcPZ3KV
uzOthAqjReFtE82sOLjRanFhdAJrzl6b6XqLmnJt1cu0AlKC5ly+6hXVxasKT9K8W6MWisVHiJ7T
KEkX3Nj9+ZAWZKdqchqk1PuQ5KbPiV7CtPfGQ7fPNlFfIJOryVe6doQJZySTOkpeeZlZ1ZxWEDbF
vjW3UVkBvfaDogddVUv/UY7yvVM5J0S603wYrlQa3xP6Qf7cpE47GRK6Ak21iXWg4cFwCNeP3MgR
/SSuvKy9ELVTHQ2u4Ydald88qTnusvoizqU1Vd1ogazYDNHXtea0/VSREWpDhEZFuAql0cbx22lZ
1z9yKUmAEXXqLO6tTVCU34Ajy1RSpWiiZigFw8c0j2okrmADSDadKv2OU7eYmAPA3zY2H2qEGnH5
UAN6C/Yxhov90qsakumxPaKEjORm6V2afr8J4YtPcBVHi6Ko4nnu1cq00ouVmVBn9INRpFJXNQ1m
wVmfxz321UCe0PdIjZJNl7ElbHMdl0E4z3r3NIuxFdUbt8fMwLtCV/Asy50rx9VXWj+gnJgKNs4Q
0xPMTz1IAQvqlPEdoI8A4Zn2RJItFYql2NhGeAuZlnpy29GUdzowc6r/vU8zdBL1gKJtesSBfjno
WbsqgBqCmmkuch2BvcAwgLrZ9pJ6P4j4StMRw8iusTQ44mqsT6MiBhbYXgSGDp8dzLkbIL1qZaUy
T72Yv23bK8MM7dWYNt8rLKknTl6iJpmqPvL6BZf2Ufrh6Arxwi+Dpe1IF+mQfTc19nYRW/Q6E3oU
WMBQqHfHlLwMfbMyK+7guLrT2iZhTgY6ZhoIeTxkZaH+ri6NPJUXIZz/RSzuS05wC02cHp2bLgYE
FiYo7dCyrhJM2DUuCXWPRQzYCeaUps0hsjUQQnXw80Cz2DSg5Ru9vfGH6KIjJk7rEIBTYNBsgPJE
a5PyBhcqi4p0yL/ZMdKuuTSCDNPDNRD8jDuWRRNZ7qiERAAC4QGA8no0MuMcqaanHo4rZKuQmyL0
/K6koGQ26Qm5Y4FO1Yhwrgwn1kpX1P4O6zgvp/qgNqTscnaHdUp8WI1YWKhsfLTSbiXwaWB0H7si
XmCDekOwl4/psHPzsJ3DirQTUtg1+igrXBm7CRIrPdBBGpuD3q1cQ4MfBogxa3XAS3jCzFTLegj6
jIYK1bdpkeXjYsjsS8VNirmBDy/47j6d5zmM4zZu3EO5HDamxGKo/VZdRJF93acW1A5XOgo8b1Ni
V+VRZQFukIMBzPh7Kz/PIjJSMBrenALbA57m+gKQ3L0u0zsNC/Ncbsw/M91curmwfPC0H6HcWZyx
KMioaonKRZ/is21RbKjNSjglDCy/EL6eEgz4B4zKvYkesUP3cz5S4puUEqe2PyAjyqW3m5pSuJFT
dQ1iy5/WgRtOizY/DlpU7YGGLYcRGF+j4erbyNEq9CDABTa3KbmGWFeo6FxntDvmpmM/+h7ABcxT
y0ULuZzuSNvOgC5Ms2gUp6p5m0BImeAAa0yTQrqGRndTOlzx0sCZZl180lQUGL3GrsEcZKg26v5V
jckAtYj6sAHsNk1k50ZPm3MvRjpLq+punuQSIEOT/aS19aL3pJi+V3ookTkJDrhMpxxreC857wHN
ecwWIQQLIFPuMPsInjpISlJu/jBl6VrC6XZmJbRgqGj+sCo4QWqsPrRDeewQybHYNR4q1DzhfKPB
5SlHborTKpg+fdqb0a2XIMld9Ogn2405pU1K7eE7Lq8nJAYoKupSNlGa8CgXgN+8CcNTNUBBhyro
xLajew+aOdjS8Fop8XHKG+nSShCnVlHZ0Z3uthc4f9MfKVbkWTovas2bDga86iQq+Do6JQC7o6Ca
ZTrGDdm5bVMujKwinrLvfqC5gsNFZ/VzL9IWctvc5S1b1y+Vi9hLS6z2tLVmBjSJDKAVTZRfmQHP
yMCoj/Sy55wu0zV66mDqTP1IseuHMBmqKYpNt0XvcwY18s0YB0f9EF+rOtfkjjpPZsnf2xYtL7sD
aeHUAIJBiJ3kVblI5d7GuAYMqEMdgFUbPjnkxn5r0nrr06cxKUEdI3DpleOhqqZ3NN9mtRXe5C1+
IxVZnhVx9NEGBaHsoJOZxQEfsrGWcl/+MH1SOivroe+T87UUBIM4vGus9NBFDhJk4Ma1o+9h3Zzp
egEtuFZmXtLjnIwNCAqX0Iesy95X5r2BOodbZFd95axyHSdHQ6IAECKoqU2HQAHioFFwQZ8XoOpJ
2WeHTZBPY+TZQRGGCr0uz1KjizgdzbsBRLF9Wkjo713gDUkBZbBNgE259O876ItjkzDi+/Ud9Kre
pEEVw13+fA0Vf/nXNVQ+EBxPjHL/MnF418nS+RFofuNZjgO2xVsnyz6QUdVQIamDa4KiyY/eOlm4
GwqxDVGawewDR6jfuYlyq/35JkqnDJNdm5st7TFd5qO/r45QPNOiso+zs2bAWH6NKoYRniogntR5
XSdI9gZFW0/pUJwa3P8a337QPR+vdTW5bhUMfNBWPCnU8h53t6O4Si+DJJjVEkm8FrprQFjrvM+Q
fbe6JTKsHtyu6MSXu9sxTJ/gBPREPrVCFdrMLgxvXCgJ7oA+l8qGKirHMeZmcR2ua2wKe5yqZqXW
psp3GIATUngvRs2WNv0hTJIyAB1j1t4yQux3nMjPfdvkuYdLxZZ+rtnmh5Zo8RaWc2Q+d3215w6w
+9wNdhzP10/KMKjuQ9KWWdNqibpomzYki2zCYwuVYxQsHaPq5lbJtnSe8fdRarVUe55x+QDtKJvi
Yf29QQkAY/v01hJA/toXdzIB7Qfjn7tw/60OlEIoCABak63RfcL3h/ouXhHBvBgx0fHhDWQuqo3w
CCROpBpeQWsl07TtkF9LZxgSnfSdAVMKkIoNI6GM1cuhCjbc3o8hJkjI+DdrDiBAxbAZbEFrKB3l
sgUTCtJ0jh3gqS2aCFqJykW34lw96uBH0CsED5qeJvAmmqz8zol56QANV+FVRJQRfHgWruKdmYgy
ki7mVzFMDCsVaA152cHQKGtcr/ruED7/bSIaZjA5HLs6igW1Awi2CgPuR4ouoA73Q4MD0gkuSA6P
IKvWLhwRQJX3JZwRq7FnQDFRjPRP0SA/s+mLOEDlUnwxKzgnY5etWzgoOoKAdPCneQjADo4KBY3T
Cs7KqBmkNPVRaITL3JS/qUa4sOG45Fr93csgvYjmv2c51zrBMUiUpQ07RhEkgQa+TKP6MwAhp6WJ
1CUJSz1KNwb8mhgZdZG9IZ2UHFYwcOzAnjgwchy9wishvrVg6mSyjzSftHBz44RO9kKF0SOHbcwF
Rznp4Pq0fIipA/snggXkwgYCejgtfagksISkoD/uYA1lVQL8aSifSksFtdRfloJg5HqtcWHBOQrM
DvKRq6NCoGKXG8vhYRLFcJQCNUOshO7JAIS2OJNN46RTWFKNUO5uK4nUpUP6qXIeB68/lftkhovK
iRV4F31Rm7MewfaWXudMK4pvdTiw/DRzlueYjhXtsJA099tYAixxcGO2k+YakYW5Jmmgd/UahgJQ
vokSYQ2sJbo1lfyyx/hFSqEuKGtX1y/1ku4S/pZ4GPU88TZ0zsNcWlY6Eq+ULVa4pUho4mD3XvTK
ug6bJSrlU4OMTe6qZs7q4GmpKJehdH5e4L45TfXqWMXfg5SiAsiLuKAbnWgF7lEauRopfa4CyemK
5IFElIcxSlgtVkhaugOTVZsXIEAOszrUZrSusReN4EW7Y1+LChooWBW4oQ9mOQzykyQg4Y1qGpBq
dldbOlZ3akI2l4ynmIKs+yh4REM6pLuqrtycnmkf+AgHhe2lmap/0pI/kgxvZUtNvIC5RfUi6NaG
Q1RvdU4AGqbQo/MUZErhNpMuyItF2AwnWaF0E1MLzqKouGlNMj0kIK4902C9K9AIhDcZbREyVmXq
F4hJaGV447RJOnUCobphSN0JyvjxMR23aPoc8v5dfzYg/P069l8/+Ztk8znui7/6K+5TTNZV1dD/
lnj4K+5rB4DmCbrQCEFFC3DLWwVaPiBPIBYTjwnxhvCoeIv7DuAWIc4l46UjRGd+qwJtKKId8Tev
QFSgTRNqG+/FPdskC/kY99MYC4eYj3HWOn5UYXaCVLIhw/FKpaMm9uZw2MepIbXDxG2bw74buDAi
KjVXWueoNiJzmmuasvDC4dqWsmLZhAm+TUpA0dlM5mGTP3hqD1thrDE8XSLc3EgzTWr+rDisLwfA
qEuzNN0TXx/Mw7C3ZmahatPcass1WtINkEHVR+5W+V5j/CC7Tb3KuxSyYIhuM8rtET4NDSj6/sKC
o3NRoGqDHFgHjT4Gml2ixDOJHQDQHsixyeDkDs5NCbfWCK3mRlopIXaNoRD8t5vgUYElCP2rpQJf
s1lXpqjGevmIaq4WeWD3UuXMVXEC6puUf0N5dmXBmgPx3F+MQm6+pP7Pu0A0GoUYfanZiOehTx+j
Ux+iV9+jW1+XHOfI5m1qEv5jU4jbZ3VrTFo3vMyMSiRAx60kU2sxNcCFSQFmU2xvaupzu8H9snyW
0KdiDrjvykFbP/dl+9AoxvOyiwYkzJxbcP8PGXr8WCNaEBx87k3GOeJl117LzaaDINZCtSxz/VBG
259Mppoh8WPC4dOtZR5nd2EXH0FXvO+FNcCAR0AvzAKa2lkEuAcYqfOUCzsBBctLVPtre0JOlFGG
IL3ShAdBEEDajIQvgYpBgY1RQSRzD+yEd0GcYnuF6iWHsnA2GKvq1sTqgLA7zcDxzSMPpO7gBVSt
MUbIhENCIuOV0NumN6uwT8h49HGstto0aJE5Qj0No1/Mj6ee3pznFahj2epQgRhRI8zrO/QSHxMv
1ReupjzmbgSsG0YJnFaVFr6NtzSZ28LsKV2PRYVjBct12chyAPJHT2CTKbShc107lBrHWXrohU41
O2MjZPaPAVqYHlXfNeG361BsmithRTXKxPQkzU0+rbAvs+V8mqdRvAiwaDB9FwdjSg/TImCPUOGN
J23mjzOXXg0prjaBxLL0WpAjvt2faa27Uo0Uykx6Zkb2oSQFi0bFjGjmdmuHMSu9vsqLDterwTqP
EvPWohcAPj2edFo4zNywJxFWpjIFhyqt76zYxwGZsvwkC3NnXgFKnWZIwE3qMF1kUb6mSbqkXn5T
ec1hVHgndZInwLsrgu1wrsbtSm+Aj1udw2rv+7MkVsla5Pjer4JTw8xTWgKddRgW1onqUNOu82Us
Uf+0qwEYexRB16XWhuaVYk8lTwkOmzA4UZsA8kR+HysUhW3CO8wL90a3jNumrM7UJNKXfpQ5sx67
gSmVL2NWpjhj+h7lLampl1QMKbKZYz+VkG/tTPcWGi8OcDkcRXSzOXr4Oy+J+wnS7yjIR4fuWD4V
qabP1REbHTSQVyh5jmQOZgTJMIqnbe3fqq52UXcAlbWgGfCqqPRZ1JbmKirkHzT1jvUgOAmovgOD
QLM9TouZnAT3o6lduy7PvXQzuJI11CEwTpeACO8VlzKtp6UXqgQ2SxntH6bTLEkph0mR2i5slfai
9BsEn9Xr1q/Wcgub28rtI6gz4E2s5CIu0llvBdKR38U3gVGnM7nuj8zBnrcexjJooxvTsIhjStRd
NI8BlM9G2V8DFZLAnmc9iO74hze616gikrQoQp8qAFjW++FjmRtnXkY9WLa7cUZ/W8XiCz+hDl+7
VW3nC6uzhObJeDFQp51LLW2XyPGuenyuGxW8lJsfO07SLvS8PDJsA5a84lO4LBLsPToThz0T22/o
IHcYAwlJl01R9QHipz4Xgq49NZvkRjXakxF59EmqAlBr9UUJ6gqW+HGQl6uwcuvVyCKadiNYXANw
IlSqh1HJ14bHmd0LjjUdlUIpn2okEuu+2Iy9N7coLk6qAYkPTbnPALwBKaOJRb7qRvLKqjEk8fA4
alkEIKg4uXMc5DHtNSJEXfvBusZcfo3t2FNUc1AGmpnN21igzCDi1GBByC+xxqucs9IZvaWqd3/G
rFvK0dxgra70p62KTx5dSqq6LdgGGpcyHUxiZznPAr/Bk4f2JhBX88wWLU+JesCyrMq7gG6ogecM
/A/nRrHqe5w23AlY/n5S1SwNesIKJwicA1qsmmv3y9IpF3y+76DhKW3a2WMl+rJOqLQzbI64NEWh
MXO5vhPzwPvxsy73j2vR4cX0d6qJnq+TNI+u6ALLVvGoIXEQhg72CKJTXCOEpojesS66yHD7WkCT
XFdd0WNmlxVT1zZOfdBqXBToREsB7Bha0wNSPnOLc1L0rDua14PoYgdS+C2irW101lQDb7qEabgk
j+AZuO2VAkSdanBhHY2SdYhrKaE4pSsQkxpNYZ0j2C4p1RkyBDNvSOiLRRn3yu6stxDygfh0ImtB
grpl/gOakjeXdee+E1oEUkFn3UtN1PZAMOVgamSgQheUPtec5pXjrvXWX/oB6fKU5qh9CIjIKWgJ
xZmPIWEg0xCBasNln85x4b+I8vw7jzZIK/8hj27iTbmNn8tfveXRiDyCPWIboNQN9kJkxG95NNRd
AykQG6NyYXDynp9rHtBUFIANoUJm28Jh/S2PNg7g5pIBUXlj55u68jv1M7zZf8qjeWOHchifQdGB
q8sC4fQOwUTFRC4QYW5OR0iJ3Piabwhw+IAcaqyiW5DAZQxGD37NkLnroMS3xFA6fI7S9jypskPL
cSX6oECFnLaY4Sd97Dd0sSygbJkaXGEH+tjSaIVU3tKakbqEVqO6xo+Jzp9setOkys9guIDfM7+p
lX4Hs4eKkO+Q9wgivSONi1iXJFDFPpoCEPwxMSK7ycM/DTv9lg/ZTesDT8hqGCOuaWIbDqm1T29r
R7p1U7DNgLI0LVi3kX9SZ8G3KrNpHTvWeakZDzEyrvOELzYZYvQMQbsdNUp2D4NkQP1VGxkW2EUR
d0DkuptBzcu5V3cLXR/rmRpi8K53JEPQGx8LHxECOzZPqjq+7oCJTG38LIzIvsT4/LGonPPAEG5z
BW182Qvrudt1p3beojyePrh1du8WiBNl6QOQIGfaRKU3b+DzrSrIuAg3rISHnh5632IVEGoe2/ms
M+Epd3n20CnOOpLwcUgGqJQ5tYTZgHnCgs1eTtGwOakrNMl194T+6mwkItGP6xZy2R15jrMS2FRs
G/AaC5+QsbrWgHOjnHGXeCPKBhYfkofkyKVB/o29DTSoYqL2hXlB8rv2nf4HJSWYcciBZ7hnT5sS
BSd0DW51z7jUa6xu7CC61j31R6Oa7eEQiD836IUjv3uXSM2qynxqm4ZJsQukLRelkMtWfJ/ptOvV
vDmleCEjjWDFeFdC0JTRN4fktJAtiJNQD5ZF7WdAPEDeNjlPLanVbqpiF0ubGi0zANAmNjtLt6I9
RwfyCGgPNVxqJxOjGy+t2Fh2KYU22kGYF0LV9SJuQSQnysSGEjgjIpKBWMhF2SOLeKh4homae/Ou
HK9gDfCuqU3Xql24cnM12tpR0EW0RFVuVVXhejMvBi0L5vqhzvo7G1DYxDLz77KSYfeVudOy63tg
NMHKLErMOCR/JadSOJOsKJ3KcrY0B3mpyMh8wTxwVhRiB2xC7KckLE5Af+CaXoX5HDjQoekNAyx0
HHlpzNxkhXGE0wRyhTXXChr53ytBQZJLBUP4MR/PQW+px3oKAbQHOukdxqrja7Mo6m5VOypbKBSV
H/zJNLj1mVpbXjc3A0NbmBiZp9cWGIFsptc5RHXk8Sp/Sm/dOidIBiY0NMCnWtF790GTz6uYJTQR
oqCneVUBMiKfsrt+IlNH8i2yML+QBQ7f6C8gRmD2WATaHEqXBhUXl70Zl6eqOGwsGVR9EYAYnUKs
iZNZNWigfeOLLDP7AuVXTb2LOi4/a6x1G86Z2FdmvWk9yB4mM9xNhxIzxg4kGbozkW4UcA9Vy7uW
ayuu7lW39ehyafjm0qxKTPdbZATQXWXcZyTu4T2E0v9fyk6vEX2rutZfDCLx0/MMMMx19kmC61/6
pTcq0vaBXiW5/jW5LtHP+RCAnz/Ys2DYP44TbwAtNI8IgmnEUuKkYSgKEFfx+o8/MB/0Xn8s8c9E
VDJ7WyH28V7v5uhXs/DPX/Czktnncf7xw/+sWSb/nIX8/iSQaiiqplM2e5kDpvXDJKiIllFSw9+R
BOX/fhLe1yYxGeGR/fYi4Av+vQasA1HJNEGrouvJiy/54euzBoCSqSBnXxfJPkyCyCI/qNeJZ/f/
MBOM82EqaJOSUZpIiIsXhdUPUwHuWKWna4me7f/9Qvg0B1R+Acj/9mr4OAfOAQ+aE8EhwxYv8dP3
R4LYDRSwbYrf+zoJPxf4f/tIwDRasUxoBUj8vLx+ngQWgqYrHArQRHntxcGwZT3IO0+FZgtlasTT
fnU6ihDByzAseh17uSlen87f4pm/vR6YBIHLANfOd/y4G2S+vaois/1yeu7tQtj5YIBBYcGBsVRu
ws+vT4ejfqACnedwZCHu50J4WaG7LASH74jiOdvhed9/Ph3VA4DLdGSE9vJ+TsLLsb3LJNhCVk1F
CO1XIQJxNYyFOCFfVt0eZo0s3h3jpH1gQT0y1NdU4VPqjMIcRGSAV8966XscIl4W6m7rQRaHgoaT
1PPrUwKtClybDcLz5cayf+tBEAd3XA/mAaQgcZEgJX9+/RwpFLwRVdkkadjXk2H3BJqrlCqTO6p8
x49xkiVArdfSXqvG+7cEhJ3BjkvAOsCATbWE1OTza8tNyjFBhmBK+bZE9jJECNH73aaCBJoivKLr
nxcCRnXCDI5b1l7PwSeDq99PGtUDi16EAQbnp81A3wPGta1gwLjXc6C8ZLO7hAbmgO9v0I152RKc
sx/OBcU4wKaG6ybZtXjta/6svOS0u0wFAUJWOR6xunp76h+nQqRVjgmbeV+jpP4VWdMrtv01dfx5
PVBhYdOYOgfpnkZJ4RK32+GocQRyR2D7I3QlXj9PAucDisCyY70E5P2Llcru6ZJxoIF0FFDFlznY
EitFUomjx8ui28NJ2H0hmAd8PQqK+i9yRlF65WcUnvd1Ej5Zhvx+mAQEQJTUEdd4WQk/7wYKjpiM
6ZyaL3fuvQ0Ru1+knAMKKBhNUk56fn2qvao4qxgKHij7eocQHKQdT8fnLNqyKDq+hEmW/oc4KYrw
mO/pMJn3NEQoL09nh2SB/JkivC4kEn+xKSix8GPBMdvTSfikGPn7J4OBySIyBnzLl0n4OUYIEX/C
B425vQ2UL09nh5VAskAbQtXstxjx6TJhH6gYFugW54Z47e2meMlqd5kK84CyIxUE67X4umU9yCaF
JhqVe7opXj/YLpNAuLR0Aqb8Wnj8eT1wPIKk41xw9vUaYeyeONFqgNuKKd4vKo4kTvRksCB7xUjs
X/YomEE7BkqKbSZquDSlXo7HT4mTfMAPZZwD9jtxeoVV7LIpRNOabAF5r5ep+HQyaPRtkGXBdW5P
Twb9KwoMnAzgVYU3jXhtORnoYBJLnX3NHl87h7usBAsbQRNJOPO1vPhpEsiskBwiWr7smn0Nl68p
zS5TYQtdbNGBegX2fDofFJQIRGUOLYLn155uDXXnagO9a915xnG/bo1P7Qn5gBsoEIfXysb+xQt1
93hBoghK46+d8QndJIIm5wPAn31Nn4Sg445B0zxAsAOSLYJ1z68tmwJINeCmvcV4iZbKjpPASkBe
RKeu9ItJ4IrN5VKmk7WvZ8LuFytWO1JFJJGvt4ktKwG+D7qv+xsuXzL8XWKERn+GCGGbr02Jn8Ml
pWgUbMgY9vZeKUzQd9wOCMAiDguU4xXtx9r6WHHC0JgoalCS2tPt8Iop2GUliOjAShBH4/PrUwoN
sknHgVzeW/yC4I/tuBI0CGkyMtKvTQmx6D+sBLaDBuqJevy+hkjhf7njJAhWnnCkJGXavhKE7JWq
KIgb7+l20Ha/TNnwDwG+Unp8yY0/nQkipRT/o4klXvt6j9B2zxYssBxCFpvU8O2e8GFTUHGid4PD
6mvxf/+SZ333GKGL7yiqar9AhItWHbY+OlKib5PENty/qfjE2v39sjxdS00WwPdfnA/PxTdWi/J6
Fu3fJLx2jnYJlwQCau406n5VZ1AOxBSQPu5tzrBzpKBLBeofJJP2KyCwSqQA60AXZ08jxevT2WEl
CFy8Juyl30hDZAY/H48mBAqD1sS+TsJLMrPDJGgUYDVVBRP+ejz+fI+giY8dA4DAvb1MfZIE/f2D
EXtwHT1Kw/xV+56CG9Jg4KRfLm77dzAaO6fQAvkJqIUG1Wsc/JQ4gWGgskCc3NeUydi9ygRpygLn
x/f8+TDgtEDORAED+68fBv/COvmLezz18Qd6piYj//TMBX6h3P6vv/DG2/08wDum5TPf9MNvCqry
y9gvfEzx3/+1eUyCdBZUdRk81OpzFvTup29Z0fM7vf7961f8/OYf3uzte7394yp4Kjflgz88/2B4
/aCnmwRu83/H/N/jZjtP9O9P85//8fHDPj+Vl5Pwn0dH7ebp58FFJent37ZzuP+6mv3j4MnmMSvf
Bjp8/M//eFEtFpeMnT/5BGnUbR+cK9POY0838ablkVRvY7377AS/3cdH07v69EiZdYrjXzB4Wpeb
P6ZZVW97C3byzm8xe4r/OMWqcdv8kyHtPP48/mOWlSyet7HezT/n8M7jL0ok5bYNTjzbefBl/JSm
b+O8++AkJzuPvWqS71n8WL8N9ffwguuw8/CHSf5UBpv4bah3w3/Flj3EpmPL0F+xY4+fyi1zLrpg
O0/KcZB6Ww4C5Sv26skm2rKHhEjFzh/7ZFNVT9vm5Cs26ElW/fHfqfcUP22bma/YouvNIwfw2zy8
W4hfsUXXG9zZtoz9FVtUjJ1n2053wcza+bGun9LH7CHYdnoJ/MkXjF8+PD2+DfT3vAtIw+6DZ3z2
t3Hejf0V23SdbZ2Tr9ilDF0/lU/Dlk/+FTv1dJNvWeii1LDzhJ8+tZvPuaOBpPMXDH5WbjgC3gZ6
9zi/Youex5uHpy25o8CT7Dwt53GTbEvuRA9u58EvA1LHKnjcMjOis7Pz+Febh5IrQVpviaWiYfAF
b5D+MXlCqGzbG3zFVr3aiDco0035uPUgE9SkL/kWs+DJ2/YlvmLXii+xYAc8BNXDtvf4iu0r3uMo
2xTNtmglKCtfMksnTVD9cfY9qPJt3+MrNrP4HutN/bRt/K/Yz4xfb/6YbMrvm205g2ibfMVM8R5T
1EC3HNaiEP9V71A249tgf5+pAla5+xv4m613Qv1LNjU1jK1T8yWbOaginFSbt0l4NzFfspezeLMt
exAQgd1nncRkmxODYKHuPvj/ZvH0LC62Qw3nSpRZtsRh/Sv27T+aVOz6ya//0YF559H/SRd498Ep
ECXb6nKiFbnzovmTEZpte1UwGnYe/T6Lt5zzohi9+9DN9y2HrxCL+1+G3laW/aur/blY+6buuO3P
PtaixW88xE+b8r/+BwAA//8=</cx:binary>
              </cx:geoCache>
            </cx:geography>
          </cx:layoutPr>
          <cx:valueColors>
            <cx:minColor>
              <a:schemeClr val="accent1">
                <a:lumMod val="50000"/>
              </a:schemeClr>
            </cx:minColor>
            <cx:midColor>
              <a:schemeClr val="accent1">
                <a:lumMod val="75000"/>
              </a:schemeClr>
            </cx:midColor>
            <cx:maxColor>
              <a:schemeClr val="accent1">
                <a:lumMod val="60000"/>
                <a:lumOff val="40000"/>
              </a:schemeClr>
            </cx:maxColor>
          </cx:valueColors>
        </cx:series>
        <cx:series layoutId="regionMap" hidden="1" uniqueId="{2FE6BF84-D2C0-426A-904F-ABBBB7DD1CF4}" formatIdx="1">
          <cx:tx>
            <cx:txData>
              <cx:f>_xlchart.v5.12</cx:f>
              <cx:v>Sum of Amount</cx:v>
            </cx:txData>
          </cx:tx>
          <cx:dataId val="1"/>
          <cx:layoutPr>
            <cx:geography cultureLanguage="en-US" cultureRegion="IN" attribution="Powered by Bing">
              <cx:geoCache provider="{E9337A44-BEBE-4D9F-B70C-5C5E7DAFC167}">
                <cx:binary>7H1pc+M40uZfqajPSzcOkiAmpt+IAUnJ8l1l19VfGCpbxZsgCd6/fpO2q8ai5Bp6oxUbo13NTEx0
Swkn+QCJzCcTiX/ed/+4Tzbr8l2XJpn6x3335/ugqvJ//PGHug826VqdpOF9KZX8UZ3cy/QP+eNH
eL/546Fct2Hm/0EQ1v+4D9Zltene/88/YTR/Iy/k/boKZfah3pT9x42qk0r95ru9X71bP6Rh5oSq
KsP7Cv/53l4n4Q9ZZuH6/fZ35M/356CKemfLOqv69+82WRVW/V2fb/58vzUKef/uj+kf21HsXQK6
V/UDCFPzhBLGiK4b/Onz/l0iM//5aw1jfmLCd5hg9vPPXq1TkJyt0KM664eHcqMUPNbj/0/Ft54B
XsS//tMLuB9fxPjmfQDhz/efsrDaPLy7rdbVRr1/Fyr5+KbK3pbjU366fXwtf2xj9z//nPwLeFGT
f/MC3ulb/U9fbSP4H9BdJpssOwC6/MQgyMCcmBNYCTnB3MKMGjBjnmbTE6yzNdkP67b4DFi3BY4M
1n8lsFQe1gcAlp1YSLeIZdKnVQuLc2vZAr4EVjUzJ/C+QaP9AE8HmAHxVOToQM7DbHMAjK0Tk1PD
xIb+hLE1wRhMM4OPYTB9ew3/K5mr0WsYb8nPgnhL4sgQvq2ralMeAGF+gikhBDbX/QgTfGISA+s6
B/v90krP12g/whP5GQhPJI4N4WCtqgPYaR2dwOo0qUUZevyAOZ7aaWphZFnjDr2F8GyNXkF4W34O
wtsSR4bwpcxgDW/6A6xi88RkJmMUPWNMpxjDKjZMmAXTzfgtOu1HeWeEGTjvyBwZ0m7yzpHl+kEe
AGrrhBFuGuTZ6+J8CjU6YZxj3TLMx+WOtxf1m1Tbj/juEDMg3xU6MsxtmdTqAPab8hOCOKHghL1q
vxGyqMl1Yxvq+Rrtx3kiPwPkicR/AcK/V3Hrkcf4GUiBpx1yD+/xVtqDnRBDN02O+ROusFC39uWR
9sCMMKw/u2Y///ZTlPySqXldp1eQfY3leXrE37+U/zpm4yZZ3x/Ed7ZOLM5GU/uM4J5dFzGdYkSe
fGsw1S/9q/l67UdxIr81WfcTWBOJI8N5lfWH2HBN4DkIcFjsOQaebrjYAh6Lm6ZlQXT8Et+5+uxH
d0t6BrZbvz8yZG3wnMtxbz1IhEStE4QtzikFx2n8TFmOkamk4FAxPEH4rXrtR3rvKDMQ3yt3ZMhf
rsvwEKw0O+FMN5iBnt3oPZAbFFsmGyfDy0U9W6H9WG+LzwB5W+DI0P1XCjHSIVgt64QC8YyIBbTk
llNFIDpihHCKnvbsSXQ0X6H98E7kZ+A7kTgygM835SFWr3FCGdURuM+vus6jRQdmc5oxnKnPfnS3
nmYGtlu/PzJknU3y7kpCQvrvpzh0fMIMHZbpuCmPn53Mkg4hsU4hszRJLb1Jqf0Y7w4xA+hdoSND
+65O1uUBoB5z/xRhgp7NMdoTBBMOnjU2ILh6uQ/P12g/zhP5GSBPJI4M4VuZrLNDhE8W0BwQIo/k
9ONnijA410jnloH0afphtkb7EZ480QyEJxLHhvA6eyc2UKVyCJQhSDYAZ0JfqeGBNKKOCDLxDspv
0uoVpHfHmIP2rtSRIX61adYHKf0AStokzKLomZLeR3xh4KN3ksbzNdqP9ER+BsoTiSND+FI+yPuD
eGA6Rxxq7swnD2yndguSyjrQ1+Bib2/LsxXaj++2+Ax4twWODF0xFn38/ehCRmm01GP89ITuDvmB
TwyIrTAUhWyjO1uh/ehui89Ad1vgyNCFBM662ZTrQ5TUjpS0CUU97LWaD3RiWmNWcbodv0mp/Sjv
DjED6V2hI0N7AbXHB/GvzRNGsWkYUCb99JkwXmOJnmXAf/AkPTxfo/04T+RngDyRODKET+v0u0we
qr/fYEMJF7PAddZ3a6j1E2xiiqAM9yf4L4Pkt6i0H+SdEWbAvCNzZEDfrrOxUK+sh78faiBEIDGB
dfTT89rZmyFcJpYFhMk0XH6TVvvR3vNkM/DeI3WciAMHdogCHwYcmM4gJfG8hncgxycjAwbh1MSC
P7/4uWr9FvOtQeaDviV2lKiLdfn9MLjrJzpBY4rx9Z3b5BbVMdR2PX62nfEn9N+g3u/wnw4zewZM
BY9sDlxuMoiww4N4blB6PwZgjOFXmFEKaQ5mUjomQF5u629Saj/qu0PMQHxX6MjQXqX5pgzXyQH2
dQJVucQyxmqwx8+UMsPGiQFevIEhbT1+JpH3WzTbj/jOCDMA35E5MrzBhL67qEP17vp7qPJD8OLG
CYFzFcCFgsf2DOu0HsEEwIFqmRQH/h+oth/31waaAf9rokc2C67LdeYfgmejsOYh9WWZr/BsGI5Q
GlCJYk5X+3yN9mM+kZ8B9UTiyBC+XD8A0XYAqw7Rmgk5LwKFZK8tb2RC6SCUcE+28Nka7Ud48kQz
EJ5IHBnCF+v4ECuYQ26aYoYgOHv87Dk7x7GBTYtNovG5+uxHd0t6BrZbvz86ZJXaHKCIDEg1Hc41
WxyKTx4/U48MSgVN+FqHCG177V6s52r0Grpb8rPw3ZI4NoSlevcv2IGTzSFSIfoJMgih1s/uIlN2
Bcr3iT4SMLDMx8/E8b54m3KvIL5nkDmw7xE7Muw/hpACU+HDIYw3PeEWMih9LhLdrS0D4g0SZNBW
ZrI5v0mp/YjvDjED712hI0N7LGbP5UFOSbIT8LLAD7Oezfm0zAzSYNzUmUVgM99Dpr1Fs/2I74ww
A/AdmSPD+3Z9X0L7mewgJWcW9DWA7iQQWT8BulMlDCVnfPwPVDrsMexv020/5nvGmIH6Hqkjw/1y
U95DLyz7b28VBhYbmdy0zNdSJeDUWZjDXr4X8/l67cd7Ij8D64nEseEsD0KMjyXDBmS8n0Heqf8H
W04gB8rBlG975tBXYhaJ9wq6L6XnYPvy90eGLLSxy0KVrOtDuOQMAisEfd/M16JqfILQ6JQzcNZf
Jj7eptV+lPeMMQPrPVJHhvjVOl8fwGLDWubQBQ5KCR83YbQTZUOXOAiyEThu21jP1Wc/ylvSM/Dd
+v2RIXuT1NBh9ADYgktNTQataJ4T2DseGDoB+gTKiOmkcGG+RvvRncjPwHcicWQIj4kaAUcb1+XD
YVLVUGYGLWawBYe1Hj/TVQyZDAKLGLphbC/ityu2H/BXxpkB/CuSRzgBnHDjz/J+3tieFzLXGE7K
Q/Z6WlnKoPgQWsdZPw/97GI/W6fXYd8eYibi20LHBna4KQ+SzYJzASaiUEv6FDzt7tXoBL6EkiU4
rTd+JlTp7Wy9XkF7W34O1NsSx4YzWPUF5KbvQ3Uvf66tPY2nwHF6W8NtBuXECDEoKnxiTsBobxcl
kLEyDRsW3WPOf2k0x6F4BeiXD/ZrmDl47xU8QtjP5LqoD9X4BIy5TgDgx890J4eDmoRDL3bO969x
QOANyr2O/3SQmehPxY4Ne6AU0sOEYTrlJkRirzUIfdzlTR1I9J+W5qnN3O1sjV7Belt+DszbEseG
MCygS7gi4BCe2mMOhEEl+fMh7J14DGJtAoXkXJ/u3G9R6hWcd4aYA/WO0JGh/RnYq/ogvhq0QAFP
jKLXepaNHCmHYlMTTTi0N6i0H+npADNwnoocGcp3NfR+TQ/SgB/6lFkQWcN+/LRdT9OaUKQCDjvG
FoGN/CVV+had9uO8M8IMoHdkjgzp21DFYS/rX07r0yv/G5zysekRBZeb/LxOY49TbgJlbkA94TbS
b9FpP9I7I8xAekfmyJD+JpNDbNFwoQaDRqLAd09jLsCfQRESHOfchneuIvuh3ZKeAevW748M0jto
JQlXVh1g7cL5XGg1B3HV80GtPY7XCDkc5JqA+waV9uM7HWAGxFORY0N5E6wPEUJBvSiczTGhmPCV
43rjfUdwWA/6ZjyF1lOoZ+v1CtLb8nOA3pY4Mpy/1d8PESiPh/IwHMOC4oLHz07FN/RGgWpvC+7S
mNjpmfrsR3fraWZgu/X7/xvIvn5L3a+7/px1tXYfbwl8cVHd7799fDlwt+FE9Nmz3e9mPblgq4c/
30OKmUIfOdhaf/Gh40BbfvFPv+UneNtyG7iD58/3GmSrT/SxAQ414PAOgVqU9+/azfNXcKoHWvbD
9RrQMBpSm/BVBn0wgz/f63A0H3qqgIemA0cOJ3/AAihZP34FmVAOhgMy3ZAlg4JT9usaxxuZ9L7M
fr2X539+l9XpjQyzSsFzMZhr+dPvRn0N6NwDSfOxAdfYwQVUgVma368/jhc0ws//F/ZqVcelKW+6
ErFF1uit0HO9EYPengasrEXT952oUYuu4SHQOUpSnAkzZPEqsZD8GqaeuoQOMZ1QlBa3UW3qp0ZX
q6s29vKHvPLSJUua8CJIWM+Ej/vQzrnWUpFirbtRZVpdF1Gkf9OQWS2wRwzL9jycOEPmZVexn/MH
Sws+9l1iXPsYa2fED9rlYJnpp8rqjW9Jw8rblhj1ZaUCtorrTBaC1Vq8wEYvP9MaVSKgimykUSdf
DZRkp76huJPlnlo3lCM3QFbospK3Sxa15XkdNPmHNsrcpA6rhR/6udO0WG+uAy3Tm3up/EA/x5k3
9N2iknG9xENVaxvd51FwFehJXYjCU1l5zYI8E8zHXXAbRFwTVlurQgwVHVh7ZXFNmgL5etDpC5m0
FstE0uSt5hjET8JzU8u0XoR10n+PGlKkLmn5ghde981sE7ruNWZIoXVmtvAD0zjra7O/rVo5rCkc
DI1FRkJ07rdxIEIf86WXN/53mEmhjbJhWHsqGDZm2H0ttWIBt2eeaUwqJ8VmY7dGmZ9qeetjYeG6
X8a9pZ37uOovYtnljlHxuBNdKrVEhK0fLlRa0VwUTZqLPC6+6CxMVgnHn2hcBKe5VvQiQG0jDKus
Ts1ImbdWkKerSqv4pxwV5lXHC+SkRHIkSGXIO0+hdKOahH/XWKud0aRiIu/S68jCmlNWTbdsNE11
bpsUReV0Xpj/YJpUqz73so8mttTKQIP5lz9g5gycRZ86L44uWKRHl0orom/YY9JuB9ZfqHiQ34a6
085h8vo2ZVl7Hfml99Ua0vZTFpWJW8suvNXCLr8JmqS0M05Z4mS63iihlI7dJuJB5arOUI5f9i2z
/cwwT0lDNtxshJ7QM9a19ENvlpYvkDTxJpf5sChCpATPlSmq1jLEy8s+t1b4vcz7MvSD57taf/3j
/9zJFP77ePvnv//leNXrv/9puZEjKaumPxpt8a9f/fsG0dH2/bpOdGJRn+6LfcXc/vbLN9nikZV4
3RY/Nm/bNcSPVMazIR7LtkcGBMywgTAfu8D+MsRgow1GKFQX0fE+JCCufxpiDEIQZcG9hBZYaAYb
wk87jE8gXf3YbANMOEEUv8UOjwZ9YoZ1DM4Ah+O7MBac9N02w4Us9MoKouCmqCPDOi3iVguFwa4x
CYMyF77maYMb57I1S1HnA+KOCpnuOX3VVeXCQimublsT+/xHa6nTUsuot87jNEJu22aJdg4Prbwz
HEQ9dv1B0/wbPc7CNBCFHuSNjWvS1Z0YjCEJ7URxLwwEyxj17aY3zcquK8qtXpR9zQYRlSGsbvZo
z5LI0ATtWGmcFn7JIztLFWwPRZuU1/6jNawpLA3Xh73CFLFlOujRXhohr5b/L079l5PYAPb9d7Me
Wp39umL5377Lk9RP/wNDwc14ZAlBi+vHSfxi2kPbkLHv5gsn4+e0B/8Dj2WzaLwxCLpng2vyPO8p
OYGDMBacf4B7/qCskr9p3uOdec8hyIFTjyY09aWQS4QF9tL9qAYq86Kuu6uspdxtWi/IhaQRi+2Y
tc0HUzP6s6hrsthFKK6+VVJvPsW66gqheFZ8efH29npD01UIBzvA74J7SPXxQtoxxn6pjZ71ecyD
urkiRYav/BicEFEzaQZ211SSi6bV62+syWFtlqlVFXYRlbEvvEEx3QY3K3vgVYWuYYygdkiS4E+D
oVl42ZuGt8G9hrvF7zUmYJq27QZoDBf2wdlDbrDRDk00DlkADmRfXdHO8H3H7IbkUwNNkumiYr00
wHvrcOSEzLPEwMw+FH2M6DJtyh47ZSOrh6BTCtuhlhuOgjvCG1GlAWoELOjYd30JFimu+VmqeKAc
CHT4ZxUU53HSGp0bKs28DMugSZ9W8tOF1XtwAJJj8lBw1xGCLhfQlx3qgh4f+oVPynrNb7U8UVdZ
5fHP0rcwEXpMYGrkWd3dtF3Jb3NwEr/+/mWOc+2lKwy1/nAvC6PQzBAu84DtYPtdGqjz9Vz52VVm
DfgKx0F9lanSDi0v+Pz7vwTLZ+cvcWhizOBIKMSH1mSe5ZneD0UZyCsrR/q6aGWZLD3wZ4mI88BF
RZ0MNkW9Je2IGm36nybNOCm2HxQmClxEpIPLDz3fpn8eGmyHgZ+l4RUrYmOdRrWxjpNRB2NIlWuW
UooeAfRLcLNaIopYsk2VcLVqea9fdCYtkU3bSMZ2xLL0Ey1zQp3A6vtNrjW5g7QhZbbBpV6eGtQc
6icf59XpMbYbnOrPRrMB3YzgVmjYnreBQmZtZIbhaZe49tJ1WFbKF1iLq0wXtO8z/6wNwvi7b/H8
ohuKYGFKvQttghv2o2LDIO0+8Jmty6jZhCVlD42RB+zs9xDrxg7IVKcwiUYiDxKlxmPk9WIWg9cX
ojKo6GWkF7nHLafiwbDsqo7yRdXUtV12BfrQpL1RiyAImF3ibKlImS8TPSd2nBTpxzwx0k6wpPW/
tFEqV72qKpEbRf7JVLHleEXm2bWMolCEFY1a4UUqu2pzTV0X2kBdH7z/SGiDl6U2aYL01DCr5COJ
/Bu/z2gnkpoVV5VX3FUk1ahjNgReZNgTsA16PQwCtVZ0kQSG9c1DtX4WmBa+GPyu4XaLAj2FS/z6
cKVZZZ+KtrcGB7eG5gxRd5+rorqtkcYC0aYVW3iqqFe6R8hdEeA2XnpMw6EYgtj7Dgfmy0aEWaH9
VacsdfJckVUss3yFC548hE1uwrqnaXwbcq9joil0/6z0ytru4T0ssU74ddGmnau3ZbHAuMONm8AF
TOC6tL5V2A0JPDdVtHTqnF8HnuYjB2NZncJWQ1o7Q5EprIolX7sUBeek5PmtQStjWfNIIwtlpsPa
MmXpKtRFw6KJLX+hdR1aE5W0P5Sf54Y9kArVIvNJ4y+6KpKwONrW7f2mthal9AInqWh6msFPBZjz
UsKLThsmIhVFms28lgkmjW4QepV4Nq20LF2WZuz6et2jDy3FuhOqEiUC4uSiWtCq5WrZUdZdmPEw
JN6Hui2qNBV9mPRZ+RB4ASHDN9VqHQMHj5dgyuU96dOoouA8VnWdo6sqrtK4O+NhMSwbXlfeKi3D
MBcRSeQtYhpdRT2ltV0DBp7oC8TBOwxSy3Iyz4P9sEritnDNuPWRXSYV9q6DAplMnsY9awMH4nVe
XZiqojCjWk9i1do17IULUwsi77qBpWP6dmHlEBlhGqt0kSVhyUVSwObluV0TmrbmQbszQ/QeynS4
z8tLUzvgdest2oQlqas88AoWRuang20NBljMjMR6badBCdFpo3pf3ahQS1NX+qH1Q6sbFiIHSVIt
Q92qrStD83zvLKOsYgb4rZ0qhv5UQdKsDNzcD1jqeqoZigUvVRYu+sRM+1OkVJrbBunBTWad0SdL
8IVDzQZYyRctTwfswCniOHXgf0i7TiKkKXjlWfYlSlOermjJq8SNg8r8OIBPTReRJgk+D9pAAQPA
AhJUS69s8uwWNmN6FvkDiRd1Dhq4skr8wbVwN3Dbivq8vUytHqa2BkuldDyM67MSov/E8T3q1w7L
GoAzZAr8k2yI6LBJYqjrcSxQIHVonwbFCqNQP/WByjFtEscFdUIZes5Qe7EhtLbM+U3ktZFu07CI
BpHm0aCdIy/RFzj3fAPU5Sx3cR8MchWEuPXdmOtBK8bfCcxDnsH08Wlhd22oDaLqQu2vEm7e6zUR
wjoiV3jIwiEUVqNr9K5PWlJfmTnvpZPxoro06gy2JF+xGAR4SuFtQViCs28DTrLgrOjTpFuo1hjC
c1z51Z0eEWNtdF7qAXcBk3dRZx2jrjKHEJSvcZQ6CS1iZVut54Y4LL4lbQueReRHza0yzPZ7Xgb0
tGGt77lWbCAiMsuDcYxERt0iKxt8NXQ51T+oysB3uNLgF62pKcuucM86tyFpFJ6WHSHtKmO+Iteh
xvjnDBXj5IyiQgEVpgJ10/UQ7NmoaAGboM1AManA6J7DDsY/UwsoNjcFK1k6cECxk6sK4jFyE5V1
HH8kVsb1VadHLTBeXTU6n0Hf3RixZnaubFP401IOQyM6klbDEsVsfPhR9RbsE+iVp/hKNzJ4irow
4FUFsYwHm8cNLJ088ePwQ1YyWPJlDV6BD9+BTSVVFlwXWO/LTNA8QAB3W3b1ZaoFuRIhqotu0cGF
0tTtm4KMRgMWkw1PBAak43j0k6ss/ezBTcRnVhOGlrACI4Z50fvmus0oqNGVUf+RVh1S5z64udG5
zLM4AroIt0uVIXxVcL/4BhdDmIUI9CAkZ9LyeX3uBdJvnL5kRQsObk+XOYHXaiNW9PdxEhs3QEUi
eVqgvom/tGbqq9PU09If/cBHGxIWSeBAHGBRNyR9oBa5mfIvGvLSRdrmPlCJOpi5vmyDj6Gs1DlP
48gAjq4kPpg9uHpINAHhn8tIa3w3IRksk0HzKF/pmcTFJgWD3J9ZGKaU244W24VwGd5o1wyNC5tM
W5zjsiam7fGkamCnpQ0C17uI/ip5w++0Htz0s4FXJX6oVNYrIE0xa1ZhS2CoLsXBYOutb/qrHGBp
bS3m5mKQTVNddj1LbqMGGEeLqVM97RrjdGhNACdGWA3LPImlvMzMTr/QKqRLNyiytDn3+zYPbMtQ
aXAHnoh6QDwDMwKmUzUiDlQLzFXbWAXsAn1xm/gFDr9iOVALCGPwwPpPeUU1DoMpr3QDpsX+mebl
7ffAR1pjJ0yZ8SrkCH/olOYNy7IuVOiGQw2TNCRVRG+6OBmMq9TMk0QUeYPMSx0Hemf34N0otw1y
QK21stAX5cBSsB1KJS7uaFc6TUKsEqjhAmZ/rHc+c3qvR8r2gGorvrRGj++ioIS5Bjsd/wxzPVU3
Gc8wGFiS82hhpYHZiq7+Rqy6tbCI44Z9MkhWtE5r+JV+qXuJ1XwEdpeXsLnDjHbzkAKaEDj03UVI
q1hesDIP6A3pUGKuvE5yeK6u0/zLuARW1UmVBzYDvLG6ukwSD/QveewvVGDFgdN2CK36Qod1D5wL
C4XuBezy0St9TqHcPDn5TwmAlzTeS1ZvDj14Gd6XUskf1ZQf3Brov49EHO+YeJ1EHC9Ze0m/PCWB
Hu+l+MkhwnlTKKvghsks6LXJIRr/xSFCUheqIXW43hUKb0wGBN4zmUINaN421krCwSfo4AYpn3+T
KTrUz3NsIeAX4VbukXn8SaRuYQl5rOd/fpnM2c3lwHn2MacMzAUaT9pMyACGcx+BTaiumGJKxE1Y
+mBpSeKwQudL1lhr5fntosiNALbtIdI1COytuucOC0n0LSQQT4GHLOtipUOXw9SO6qhFbq4ZNbvJ
9bJsb7I2v8ppHN5pZUs4pFYGtojUoD5YSRD9RRNj+AAmz1/myCPANPJWer3IZBI6RB+CRVUo5TuF
0ZVjOKClEXUx+N7qG6y9qMtFlwykGxxamypUC5J1IT5L03aQt/7Qx9oyLLyIuJX0yyWn4MiHLPOX
wM2YTinbaAkWqHDbwsPLJjYxmFzwblFslp+HJqjxacx7c3Cpqnvf6QkfOkjyULO4zNnIrmY6xE0r
lA/mZd2rQDo5keZtaJplJDKWR64JFniJ8yCubmOalNw19Ty57ogZkGUBGSQwCkp+HVodYq688OOo
FF0g2apIoO+6e5CF/N+3RMejQK8v0ac7LncX6Sj1k/GEQkYETD5kCnWoUYaWai8WKRwHJ0w3x94u
FBPgFX6uUesEWgAguEBuLK0BFugF4QnnjjGccwCyBvorQo/lNyVc6SMj95J8gRQwJH2BaYLr2OE6
hfHajJcco8yNITZ6T12jhN7FUt0SZZynuvoQd3kk2kYPznwEUTPWT6O+j5w0jr2F15itXXW1J1CR
g1fSt7UDfvRHpA+DHeQMi1avTKEG/KFCBbBlHMbKmAzcJMrxivslEXmQ3JYsi8SQSUtg2V1qBZIi
zaIcUmKNZmud4TkQDUVu0hBNlFVbXKEsvWNwcveSNUN2ERFSCWmSQvie8l2SsKWuOBiZRra2GQS+
GMrsLsgs6iQa5ARRqVZgbRaeVfmuisHZZnq6AUrmM4SzmkiIcSqpdqsNMRZeoS6H0XMdDP87JEoi
URh1b8O6drNyFeEL7NOHJliX1K64fyql5zttUwM9NdQRvJEYcnNJFztkULmb99EarAYYlKp8qKv2
DFd5KziCByobb6VK6wZyqLnoM1cbLuoKn3W69ZcRmSuJIl3w3kAOJIUuSr+8CdOuE3pjATHd4Wuw
JonwUe2CVQdIKBjayvfVipU6EhCkfiR+q3/gWnDfkeyDyizwUROa2CEO8IIUkgjFGrygZlm7uScr
N4nLyPHiFosSWReQ7ln1dagLowycyMo+drGKBBpq7BYUWDVL9b0wOdAdsAUUrl9Uza1fIWp7mH/x
NRkJGebLAkVnKmZ3Oh/WWPOzZdrHokKVGzUBdyQJYmBUykDken7aoobYZlWcQfdCBfgVYFnTyI49
nCEw+lV2a3kF/OFSQYpXXg96eR/KVq5Io93ABF9zGUpRRn52FsT4a1k0lyWE6Y5m6cA7t3TTtfWm
YX2/UBUY+EJZ3ilEzt9TWKJCgip2HJrxImzrW0h9q/PUQmdNFH3LB34+FHiwDRksZatdFH2fC4Us
tKh8DwsZe60olbqqogGWT3MX+N73ImDWaUaBq4i09NYbaABxUP2loFAZUFT+qWXIMyjKTYTszXRh
qWxl+sanMkDBWVNlkJ+KhlsYs70oGqOB0EVKt/JNSP2OYWpTAt+A+QheR3sbmZ7pYE//omRU2s1Q
15AVzrIzRerO7jTGRNCHhUhUUtlDBxuDjzz/NAuC8iYyDS5aWjhd1uOFVaefLTJEwq8CiAwiLBSR
IQCUZ66XRDVEKXEIq70iKxXKQMjIDJyS1Cs0WGhVWMGKYS9ZmqCLKEzaCzCLlbDAu1VRNQhZZKd6
VZxGmulEcqiARaoiCPU0DCtNr2yIYjvR6wFzuK+cSofqDohdHU03biKfC6maT7iLzo2yPpO0v+J6
eduwphaDSpeB5kGxQeoNIovxVdPVn0JpQCVDH9ykev0h9tvPVtxdqnT4qjwIlmLIoohURp+BaTzT
O3TaK3VXWSYSRZ0hgaSkgifdRawKl6FSLtLeUoKU3aVX0g9x1idu12KXkfyM1HUmelX/0A3vL6hy
uAY69wrY55siYoVtNeq75xlQuBIPX5NAUaEXluVCqP2XShm44L0XiIrkdxKqOTotly7UHHQC0g19
DEUjkXEa6mZGl3DbJHEDCUSZEUrn/2/h6LFsCnzf17dwOEb/fOfJ7jaug+SvbXwsj8NwWyvkr0yo
UYId/pevTU7AGEF2EoqqRo/6ha8N3QMgbQlnDp8z9i/28fFiSai5BMedQVoTrkV5i68NudNJEsKw
gAqEgikopR+ToWNjipf7OPeggse3rPwanFS5wFDlAYsyIU7SZV8gq2C5JCrHpVzGdhKzBBZbtSoM
/KORKBUSnNqzFmhhkQZx5AB9fOpL34WrmQyHlrAKZFZHi9pP3IhF31uv7ARuCrBBWQompWoyl6WG
JbS85zdBkX4ySqsURQuL34iHix4Ccd+vpI3CL15E79I0zK7BSGg27GCtqEPmu6jD4VmaBF883Y+B
uOMfrLiC2p6abLBW1gufaO1dVvBTcInOo7zrF6iDzVJ1HwvcXv9v9s6st3Jbbda/SAcSKUri5Sdp
zbaXhx7svhHc3TZFDSQlUQP160+pG8nuJF82EODcHCD7ageJ3e7ltfi+rHqqtGgD0Mfr7ibVpyLs
Dswfqmxiy00b90/lwHqwAvp2YMAFhKWH2udlVojhm5MBjiQhpl28uh7KYnEQsnsKudsDhYI+Hvbp
0PfyNDXxlyCAKzIv890kupwkq8CVukuycWmPpZZBvtQjtPW+zjlbHwuwZUfmBXhpRjldGrnWacvE
HTfyzJO6y6um2a3W+15VDU9l14FG0/Iwr7PMuiLuU2+qwzQo4e2OK8TDJrmnQjUptQGEi8qk1tLH
ysSPevhOEv0e49uNwC/wrUydlcHwWo4Qqodiu7nHFmctJVDLcJzTiKS6mSDQN6HMIjccE80f3VTp
+64NbrulWuD5BWYnGTgsgvfwYYVTEq7xlNUTzxOPfTTK8XM3Vcc6tjKPuuLOH8BtJEUNUbS5DNre
Q2bPbeMfmlnt9YIRHDD5mYdDeFAL4VkBTSfnTbdfZXzrOvdMdLsP1fQlnJ05tXR6nAaotME6v+FP
hrxEG8ztLrgiZ0rTLnD31ZLQtKjLWz56xc1E+69BX8Qp1ClykkJFX0qvjXddPHK2cwpHuL/uWc2g
JVaTuROTF5+N0AO0H01abGzCcrxAnZeyKPkOK2A+T4ymSRHve7McLS32jtE5p0X/wsO5zEKHSVYb
/BEDVpexPvazG7KR4SVORHHw2nL9SI0OMADdnFETPyVddIE2+9aUXZ0HNXtsilJcIohvawuTv5xz
+GNqV0chJthQfq9Ww09Wx9+XOBYpTdYhZxMfcvgXD7bTeIn726L2kzzuZ3PWcZ+1MvZgkIawytcQ
7/BkTIPF4SuWSadqFm5fBcV7Y4r7BvBMHrbAA3AX1Vk0hiQv1ubSEeXvVj/qjmJccy+Y8rhQ57ki
Qy4L8lIZ+KdAcOxNGXr+LZ179ub7Rf1B+1jemimBOB405azTf6cTptPWn//fptP/NMDivr/+eTT9
/LJfRhNY2QilBxFSzj+osF9HUww8xqe4+f3xiokAHh5PjZ7YEDIRcBwMjN+YGsRt8TwP8F/oFUXN
JB5G/w9kIEi+fx5NMaAdzEzMSITzkd3842hKFtHxMSnHayWtOScND297tVwS1XQZG/tPUdvmXWXr
o9Jxs76Veui8hxEXC9etMoPF1DzwjV61tXuwIjzrodX7rhkkTgcHNqQOoMQ0UwhSuNyLeipPMCD9
TBhsoJCIRZnxqVP7NjbN+OSEeeGlA66Ka2QawwXC9kmG8Dwt3npmRi1lkbnEyfPY1JBlCu9ovf5d
cLUCS/GLgws0DPKg5qdmFNMng4e8XwjuDLcJVfB/5ZMZaWl2Sev8vQkSmU+95+fxxFWu6YqbaCNJ
SiJcU/uAX+q4t7tOBBmzxO7ZYu4SVk7pRDXfT826pF5hYSuVasbxMtwFw8Azq7qXfhY3LpiBC7uc
DOTWD8VlXi22yMqMqYQcnlZJkgGKG3cKv2HckD0LrtiK92LW0RfIbVOx71hXAqb2YFmWQ3Dk/fhY
1vQpqXw1nkxUevZBBqo7ss5kqiujY8fcoJ4i6/M+LccinlIaF+GBBvNUpaxg73UxzqctaHgYVV3n
a6vuXTXcQZo6q6a863xySay318N89too1yvk5k6lfoWblTTfZ0UepeUv/x4eP1bbbQv8+9V2i7z9
+eTAyomv+eXkYICktqc4BCD4/wChblUpGO5+iOf2xPi/v4pTyALgwfcMPlQAYh+f999OjgSbMIpM
E5ogEfAjXvAPTg6syn85ObDVoi4RiYQYmzLHD/HrUmt7kO8NqZYrwH0vNYnFMOo/gA4ps4o4m6+B
0h/kFDRXAuLgaRiL/uj5wXgc1yIARbqkguvCgiqldxSC2g5mM8ybuHqjK/Byi+e6X8pu+gofH3cv
p4dd3TXLPRfCZG2r4oyPhf4QDhAR/BGrheL5JEt9bUXXpSBZxWMgYnUYIaXvxFQE+RAEH+G6N8em
oeOh4jAA2XiiLvkgurHfwygloC2MvDZyabMw4l8QNJiPfE4+qZXIj10469uSOLW3Kx/hoKklC/AS
XGWQFDA1LT92WiN7MBPw2rDwj7OJed4Iyo9G4TYtRPysB4hLoamaFFGMm7EDN8+9lxnbfGr1mHEN
voCV5gyGZlfHwt8RMZ3hCF0mnXzCq3kLMQtimdWbuDa2uEyXX9gUvi4R7qTQWj6Lrv7cM9XsTCkA
+Qj5ZMMBq2njRSlVQZxFQhzrdeqOXtS+UVE26aKic9QTmdpVjSlnVbW3HhP7spj9VLH1Bb/oCtyC
edJecRciaJCs8kiLxuBvQr8Xbrj3BjXd1AluFr1d/V03J3cUtmm6Fusd0/iVWrPknZvv65Z+JbT/
vM71N9h9farL8lw3yzUCz5nGJrBpIAC9ezM5bU9AyZpxGfJZ8CvudzYjbXiMhuhGL22y0zEtUhaU
L0asD0izX6oOEJG3ACkA78FTvD+WLEq6OrlS51f0K+wY5k6xHepdjOXOK8K1BUrVi7xh0KzKmL15
AwSmMcF277l9tBZdWvCK3fpTA6lJ9mnMoIqSNrjBqK+Qw8DRWsBIyQVL5MGxepd0QZJiOyaPPYMw
NCW9ynBt+tYRE6aulG4nWzfudMX3wFSrFFwOXmQ5FCfPwQkXrA6yGR/wzMc7lQrz2Ci14J0NJz/h
m67W+h9UWQxpEYbHQKsl7RlorphHbU6KOVtDH867K96cI0fpJexUM/aht8UXopTN4ppmKPO4CwfW
nOaQRWk7jzCS4UECzgqvscX4XZDByEwgo/3Sh08T7N+ssOzGl7PJOG4Xme+xc4/Uyzlw+tKFTXDq
tMRvyfKsoc8DEB9vFnuEJ5Z9OMuD7XpZZ7ztD4OrQai7Mk+65mvZsH2iDT7q+JgYEy94YdsvphzO
SzybU+3FSd7IILiWs6F5MSLcU8lOnFWY1OmYFHdT5+m04tGOOLinjZrwPp9alRZmeXDgiLCkmBr0
x5qkIyHF0e9suEsGHR6cKDjgw244mU5dROnHcGRGeh4isZ67CktLqDt/pzsDrpj3+7V2Z88Xz8Zr
YdlWcslw+tUnT4Y8K2tz9uiciQUwSFSZly6uxPug2pyX+Bg/xFX1tlarBSPCqe3/Xb5/mqlb89/f
z8+fj4766wTdvuq3CYp+SDzGErlYsOfhj/jb77IQnr+xJS4BtiLIBmMFi/5v9g4e4ICxigwHxeNP
t5bB/0xQitoLiDiIhQSU/Zi7/2CCBnBs/8SmgkPaWnMw5cHXBn9ma7sICbc59ovbngfljq5NzTEX
eXHxls6/qHiY6tTz3fglrMoz1saXREDkNnH1jU4syL2ZzfExKpt2guDvV/AjO7NbKlmJDEaj/iT6
KXIZHCYwr6qEJO5VEvoCPkz9a9gU8s2OftHDOmVlzoZJA2wDT1Us1b4cZdVhIA8QA5o+nPZdj4/Z
2cUeT3ntYF6MnKe1NFGdVnBoweT0714iFmhKrUiZLKYUsMv3AnRVGrkGpzLFgddMQqSg7RD16sW5
GYOrWfVlYD7cnPkhoOtNOfFjQb2bUDenQJSnRRZYPjcfBcwIA9o3AZYfwvLGhNHBN959NXXVoymS
izVlhdmWqEzwIbhRg+4z6FL1zkVVlfbGq2Btj9fFDlevXpJ0FjBhHKJZq4ZtBMg3AlIYWc9kkrr+
vab2STb+kx8FLcumxqp7r6vXWxrW+7Yze4EN/FnLKYuBZxUwc26nsIEOoMv3eBBVRgyEMwLzbIS6
wh1tn7yIzXuTdDaNu5Xkfd8eVIe/rmkiOA8QhwpQ9zkJwE9NYi6O0lRjStmwt4unH6N5A0LnbPBd
n1IOQdsQsPgSYDMUqCkCIutGE34ceJDHZQ1axDXJ3m+ETBu488u49ulqYvPCihETLPC4xNiBi5IN
rq8Ov3wU/xe6YNMz/+NbQlLFBw4rKKIGQK+RSv0TXFD55ezXfKjuiF+aPQWt91o6vE6zq1X57/n3
8/zz8ar9/fn3P42R6u2v59/2Vb+ff6jWDAlFfQBBahcawy+y+A/jGwFPhusFBwjyn/MvQb8y/odn
2PyumP9yg8B5GaOWlfINYPlneZ6/UO+w1jHZ8QMmeCQW0ht/ukGIPp6riibN1Qu6FyEtsLyx+Ro4
dmoCTPEqWrMB1mfM2tSf4v1KxQ133d2c4Igp5rY7tbJr01F4WR+PZC+Yv/c1fZrlRHZJjG16Eu7G
t0UeebB3ZWA/yYSYrAmam5J1TTZ5/bGph9c2WkQ6BuH3gsghw4gXWMOWy5JM3+sxgENU4yIPFWcX
uYmlgVPrzh+9Ju9btkBrHrFV4VMOzdGPMquV2yvt7oljLEdA9zIuUCohYD5T8Pw50Lzv2o/OiHqY
vFsUtqFpgPosaMpKyHcq5vcrDz5PxSqgEsgavL83p01s8Y9RJbNVGJK2rSjSuDhRYfcu1kXaAY5L
ybx8Wktxa2N1MYW5gGMJYV9ia20JeZxlneP8bXe1IrdFQD4UrrHQMXCJwBUPYZ5hQl6g9pI0DOmx
pUhfF4n5nLDeyyIf25HIGHwF8WRJZb6ASP3kEPy+2GS4GmqHQxPMwM67/ssigB2q+tCaOUrDEelj
yMY6HWlB0rJIbktBPtEOPtso56uHzNKuriFnEraK3cpBfCIc6B08PT5Sr/zOmkIfQL9iMtb1RUev
dnkF+LsPTfQ6OKoPYw8dewRi0Ju51Z8wStVT4zemfpNi/T4v5eNKYWfHo9FwFfsySV77oLor8P4+
+Vb5x8USfSV9wa8hAupnx4ss5FBm5jg62t7BUi99mZXwHe5otUKyl7qdD8gNfJ7VDByqLW/pot+6
dSJHXwvepX2UlOu/59zPcy78r6DdUwme7i8aK5QPfNVv5xx6E1AGD/IWsUW0gUe/Ujz0/0DxgFCK
f4Nnom7b4W+5xS2UGyLmuHmA/gb5/L7noXQFMBCEDQS8fKi3iPL+gz0Pz1b9wziEqhNiody8xIih
sAfayx+VEiR4fWqarrn3YQ6lLByHNAjnT1McCVyNvCswaThZq7ytG/jrvUOmF0roDsmyIZ+W5E2P
8hZ99x8Qw20yFXRJ7igH4CBgjyX0mDTjPrIIrizBcQav3rZenc4eyH0avAzMZpGcSwRvS+TPu9cy
rm6dHd/iqtzNnO6sJ6rUBQbeUvgNkceDcFymdEBiy5PteKxMf+w5vwyV2GnC9iupdt4GhARsuomI
/ojs5d1MSmRs+lAeypW8Nr2/x1b+jHAg28dFAVq8a92hDxqRcZaUaRgNZ7bYaZ/glLLEO3JaIelQ
PRWTNdlC6bybcIVTQYh1MTF7wNj+scUPd4EURbI1meF+KNAHMJGunDbfgcKYgyOoM5Cipqnnig99
o+GljEvuq9mDY1PdAvTVuRSk3qnJNBsKxRDM0A72UrKrPXcumVW5mJuPFmfeue1UPib6oezLDnQ/
PweTJ3D/t7dcbdmk8YCl7UEiqbAbVzQwOBwKwCze0VUxpx6AnqVUbYonFbxUVfDoBgPzp9BxNja0
zVxEP6ytfKlVl88NTDOZ1HFKpbzBvIaO4b8Pwxodq3UJcyJHtytxM02Dgj6g+eNzWeHnFw7L9wov
KYtMeBwjjDgDVh/5pfFNV7ibDg1u5H0KPBO7oQ0iWLz4c/xlQE6GK9jG5XPh2kdc8ZdMJ9DwV8hi
0KjqtFPWpdZxls8Vvq6hludBW4eHVo9XrZPPLCjwex/GtA6WLvVb8xKM8sZW8ga8NGJeIkiwtcN9
DIlaU47EQobQGHgSaw4F1Xeq5DedZDF8YUTAxSDv/Eq/dFUn4R3UmOmyz5dQZdGMH3SeYM8GzXTs
Av+eEExo5ByPdVBcejGeBmU+jt500IO6LbXeh9HCQbRgkIth4rswmvs0ako/T/zpee3k2wCGyauW
wyyNyyvVQYmL9BUJys/Mxfe6m21W8+kpqZu99c/demen28JDqsfnJ7Goa8DUPZmKI/jVqzdGUB3d
dCCbPz+OPRJ2JUbZigtLBBMZb1BZZAgyYULzCC85vqlqmcmSiLSQecYob/3pvawBoy0tjXfEbB/V
evi6VFE+6+Q9rpbxpNFHkW1XrkOg2KkMOpavRdj2KXEUXLviy8HzFjABCy0yHZfznnuI9SJrmYql
tGeNZot9O4XfR2bD/VjW3zWdngHDfUPBSLXTQ9Omgs73bgTfhzvilDkb2R2Oo4nCBVKkv2CTsRec
PfDGExODVO+ADqrWnphqq2hPRxOxj5MPCfBQhn1wGENn8FlCNjpd4qVHGmkUS7BLlBcuKAEhNDni
mVq4kyKItMo75Njc+MR/dhPw3qNYm0Z9mSFkls/9GpLpWltz1AIOu6nA9uiwDvdSMpF2PsC1XjwO
BYVqjKBaGKpx33v9cki86MLiRebgP8N0bKJvEGhBO1skQ9oqfEYSJsnKTcML/DU6U403c60gLuE/
x+WQ6S+wqV7Lqie5Tao2BcH/jmTmlNFS+2moEHj1fVzSe9tDuQa95MyQLxIBgdp4t6HqH7xiBKam
v0xyfl89CkIB+8QQLH4qDGuygS7n0qGIZG5TLISvssZNT4JWswTcNYrdoGvb+ckn2FcGfuNV7qUp
yfsa+PguAo7O1CIzJHO4Y8QtVR6yfleI/rFecPRgbUmXJV+aS4NwgF834BQX/TqL9VRS2gM8W6Ks
kys6GEh7F8X1mgM2A+7heQ+41ZF8jtmaS4R3Vt9dOOJSGV4Fc4wVTKFB+/ZAwwlne2jymMt4t+LK
marC+2DhLTHxmfQDqmzCqshLD+BKUvMZfzhqgnjNj1CHA7BuTZLTWYpsThYo94uZd7Geb2AmkDRJ
JoESoPgqZ3U7NjEusaa4ImOSDu0AA9y+Rnx2OzLVTw54CWx6IDAFxwBh1fixGMchH2f1GT7MufJq
/Izj+oyIYrnHpy7Ee2DVKXJbuDto+zZw/hEH9N43zU3dljYlgh5ppT92kzx4Ml5wlQA/N9N7sJ2P
nOmvEoMuBT10F/r2AvOmyCYVFodiDfqM+f1JeBNGgp1FShgY77KuT5y5JJ2EyqqEdIeByTmT4XCt
5XiPTWSviP00tcER5TjgF0Ygj24Ml13tQ97xA+RoeF3EB0/g38bgQRAbnA7K84JDRMrkhK4gng1l
c/UNINAktudRgbfpIn6Oh+Vjo7S/cxpDEEfW3pOrOHhzcGkUjzJ0bsDvxCcN7T3kPgpgVHoDyGHs
xu1pJQ1NJ9QspY52BULc9BSG8r4cq08elt29pxKV4pDDAcfm44qLRoqnLt2TfloRSaNIN+rlm9Li
M2XddVDxtzWk35YI9usQPetaPGsoKbml8lS05tnXyZGCGpwTcqEIvFLiENBqtqzt/Cra5jDGaMyp
17MY5QOKe7qUW/9Jhdsh7rE9zvoy+3Gr/n+dgvn/EJ7/r/ZkppX90SD9vy7fW4/oL8s3o9BDKfpo
ILZuIuYvgAP4BQilP2H4X0VWyK8+JSiigAIAH3OrOvtNZMBzIgJosqASfvL1/J8s30jU/Hn5BoUP
ih7fE2wgIIw/AQ68jVeugOhe0SyGeHfWd9o/N0sQntWKNHxWoR7MVQK4+eLdJArtBBVrp3TG/C2V
56eBrT4swl7qZHma/OXGFcDNTQm1EMkvRPjkimS0/TS37i5u6YlJ2Gy4sqbddi9elnNkxihbIFbI
tZnTdhiQcQYrW8QY2j2l7zQRNpt/+OyydhliYmTX1x7qvxKM6qpKsrBBYpwP5YuLYJENTeh23Lo2
93vzIYzAEoejRzJ0cIBjWn18nG0aim7KelV8RsFWbglUYKDKOU6cr9EIxbbo2pwF8TfwrzKbIvkc
ddgKozg60QXMXCfjFFnj50iEhyQ2a1bMdF8mPdp7hvZIoonlcCOPwwI2xIVTj4ju8tXp4mtrl6uv
sS4z9K9In8usDetDXS+nBCUS+2CZAT5O8GwSYb4LdOrlS6CeDTzPlJbTZvHYt6gg691Qu1dpWHEZ
mUTZAQMDVopoh8MmeCRD3OchovKZhP0N6Hjhh3muLwHrppeETz0WMVTn7VHZADMslrsQRV77xlE/
a5Cc3yUl5qLgOP5HooZb5ydLXqPlBFaUNHnReC6ziHak/VCXO08izu98WeyUP8iL9HVzSPhsnwib
1k+IQpS59hGBrYfGvwUoDpVqrusX3QNalnEcPU9D2z4OfdDdlxGRpyTol5uOFxRbIwYTIqqYh14Y
VjfFjJ45JLSXm7FfG5KurV98XRI4eIgUet1JEf+h1jzYlXDDPvoOL/yhSEj0xau4eA9xCdy1G0sy
W7iLWMMy1yJ7MWzEybSxJ0OP7DNgFOtWvOozLFpxMwBWQUydZ1433vUbx1JsREvsT6ChN8ol3niX
EOBLuBEwXetjAGxMDO4oiPaLtN54GbWRM9HG0KxhHQCAA1cTb4SN/gHbEPkU/6RvwOHojcipNzaH
oyDgFKHiPC03csdLwPAMgHmWjepBfjxfNs7n38P8B2uy1Zr8vVb8NFr71v9VK96+6pdjfBN0CYXs
G6DaESf878c4is2wi29n528n/G9eGYfwAvE4gSfGg2jjpH8/xpGSQmUM2kwRkYJjBvD6H2goeMrA
X47xzW+DYwdKjSGuiJ/vV9pkIliPOo+7K4v4sPe9Ru2G0IdyWlNkTi6JXy0M9wrmeRkrlLmdERLx
W3ZgST3hvQ9lVZY+u1kUVvypIiodgZVhcOFQcBTxwcDyuwj8xHGZ4PmSEEVqUWi9S+sEOwyVfuZr
UGUe87+pDncDRCcfWqlr6NC6yT2zOc8ivq5JM2VKI5ktDHqpEH4BJZtA2x0BvaLvjDzU1GtOEzz3
vC3YDqUv7OjFCA1hgxxOATopE9g8imXS1I+ogXub6+5JoxPTtNvZ6UfeqcLefha8abLVcnP1x+gL
gbzLO3yXIqhv8ejqGffuMR8W1eTFzMGf4aWhBKCHmB78ev3UjuYjr7qLLIcvvkcPlWnxw64zyRRK
XELm8PGf2e1qku+AOOrMOSTwEzJdoDUDBWjmLvNGizM5WvacFN9q1GamLNH7ApRO7HW3ipjnSoI/
j6kpMlm2/W5m7usqyV0ge/wDtmj0CjUZqIwuuR9o4rmDNyq3Jc/qrPDnKetQfoLjErKuPhCABD5q
NwmW7THg+6Bf39YEZZwsni5qYX0W9zGwi8GV4GoGk4VtBbIjmc2RgzJKZxJ+NmNzO3oUkdLQ7KaF
oMTKvRUx4AFiAJYU4hV9QO9jLHQe10wh3rKC1fdtc5s05L7oXZTGUecfTWWgCaHpBcF1bAeeyMpG
R1kPomJTEk4T9viq0g+j3/qgcYH7JE2137LfTdtnJQWSFEQPC2p6rDIcoBBqDHrb5JOHRT/BVo+g
OkBoWQsQVW71j3Gj5E63A7R8Udid7JBILyqQNAJlCUN0KeYEMfBuWHLL5KvvVpHZSb/GC+54w+LJ
fMvPHwv0oeWzrWsUloQSjgCoDz9YDXQWEQK8F09xEeM9BRT9SNr21m7wDDhBrCobUCM3tIaCsWm8
+SECc4PGvyJVG4bDwOO0ETkCgrW4J/HrorBsNB6BvFYGJ3/DeaIN7GEb4lOB9dGLd8K1q08dKKCx
GtF4Qr8a0EFVCMEuEOCSWHCH4oQ27UESTTPzdyAm+xRtqRM8oOGegjuqQgkR1JRHCiJprvgdUnRP
ckOVWjBLDTBTcDjAmJINaDLbxdMW0cuguwcUw24NOfVbtYKDAkd6WEd0cpKNkRo2WooDm9IbP0WF
bHaeqT8roFVBX8LNBmzV+9UXtdFXwcZhmY3IkprejkC0KqBaAZCthLc+ghNsFwHmKjaqa9wMqY3z
QsPriwX4FVf6Rvdtk84xUBU40M8W7UBpvfFi00aODT8YMsRFEIXj4ZXUOvEQiF7l93/H4o+xuF0G
/n4sokzHvv11Km5f9MtU9OEnoANvu62QPzgL6D3cYrl4+mhMUTz3i7OAeD/DuATY8SMEvN17frvc
bM/HYRtyzRj92QrwD6Yirlh/nYq412yRIkSVQzS0/WkqmmVAq1FJr8MS+pBTptPswi4PKkphQnV7
fJhHqFPuc0ywow0i/Ia00Y1Fci1nW3FJtQAQtn15QSEwcABf3XoVvIhkNWO+DNPd0kdDHvJeZ1qP
Xx1XL6UUO7TpPNZhdVDOngklj51BgrjqHG4phgxAp8mNatELJLz441BznTW8tagUKT7ixvWZoS8J
ac4VaB7aepmg12COdrzT57jpAKut9LROBZTUmiTZVC4HdCvuSGLeQZA/jrNgZ4UEB/puvybS4V60
flrAnKc1aZGhQTcR5nar8m3u+As+crEpP83B+KVephCoVnkkowY8gUsE8lS0Ty3SnJi29K5uu3NT
hzSdwbJ0Uwnh0tPIYzbJVbY9cs+iu1ZsMueltegBkcgUxy02gBosS8Z9UdwNkfZzBFpXfGDD9R0D
s76bQkgeEi+uKdrygaBlJC2H/q0EpX1bAXJh3EPEkBh3KNWQXAegp7s4nvFbG8sw7XEuZ3ULQwGh
2RKLSxAdcNkSadSjpCVcYvHgCxocVlNBCMVZhYg2BYUyI+MhWwotzzXVkdIFh5iU5FCVW1vgiu67
aEE3DUKUqLgBGoscCkzUcJD70DcFmD3a7FC3TQ5W03anaHUD0vyy2upaq+BknYAu2CbvxVpFaRW3
IcJekuZudNUOtclgWrc4ml+VCV6IwAFt7/jBVrgwVGhzOHCChphW9Kj/Q7fSI4zW5DBuRRMgmqsj
EitFPk2QnQZKvYcGVRppu+Jv2i1RlMrIj/aJ8GxWuTlJHeSjnYfGJlSw1PLMEMg9CFJ+cGS4H0df
7UoPXbTamq+6wdVbogEbUCAPz4bDgBYAsFK3bi+RJOrLPLDqo0I9VTqUXB3diEpPsgidNoUKwJ8i
s16aFaMZr3tKe288JjPs4HIOsc4hSfa9RsQHuHxc7CbRekffIpfHIEoWChleFNWkLYcmh0KzdtNF
cfGr5iTvTdtk0VRFELSWB8j9YH3aejeQKkC/LmnuUHBnj+hAerdq/WqDCdUYJhjThjf9rUSfTUaX
CNG2LjpFbi5uIi+eDkmhwkfijZ8k19bLfTsuxaEkC8aPHM23GT9VvMImLEqQyENSdlA53YcAmuB+
wU078yd+xroaoRLYBSmfRgQqBmxnqEREn5vYSaW8sxf6R0npxwnh4QxRjg9tV53jSt1joGWeF/9f
9s5jOW4s3bqvcl8AFTAHbpoJpGEaejtBUCQF7w/s098FVkslqavqRg3+wR9Rg46olsRMkgngfGbv
tfH0vQS2fuhKq3/CdP8xWPI4CoV1HBt4D8r5cOyAme1cVyarGI3oKkzVo867RVV06HvxFe2uvtbm
7ARUXlv1rv0wO6Ab4wRJp2zzd+AlaEHyfF8m0zVSuyMDA1iDyzChYO6+TWMNvlUfMWmYynHV05OD
Y833RYsQxG4NczNNfIRanV92SnibjcGLWnbPleDx4KgVBqu0OcSD9jqmlgWWYKEct4w9tU7DToLX
LRUNcO+W8dGs5Ti4+1PrDI8diUqerYgrd6QsLXO72DPy4l9KBvddSpNQyfLQJeoOTFCx7kWwSdSy
voR0PFEhJSoqZteTY/PRBmz5zD72IPVZzzg4ctNH9EuFLd9KYe+LznyCDmTu45zKopm/wDSE3FeO
O37obBPpzI5ybfYyyz5DdN5Gbqngkh7YcTGH6Uttp9TWbhrY6+gx/Md4uF6E6ZnewgmIsy/ScRn4
G2ctrLYK5s0QYh+f6XrMNP6/+Ro5cbxu4+4rjOkrEKDS78tpL3MR+R3lpCLSayhrCmdBxx5xOkQy
u85dxdPi6C4DGxtZxc7uMlateXyXxeCjdathi9Daq3yiaoUiGWdrR21HKL46A2H1AwHbxNpoaRla
R28dqAsp61CruFGX3uLf2uizNjJRo/51bfSf7Lz/ro6WL/tWHSGipfAh8M9WMZZpCwjl28wAgjpl
DgNcE4AwGoof9GUCb5uG7ksQSIXxbKlpvlVHBvgUoZNVBdFX+/yrf1AdLROBP0SIqC7IHaWcRmQG
32ix0/1cG42qEvZNU3RnaEA0kx1rZpM1e7764ffyJ1pHTf0vCx0Gcp2NIDQYFVfOr1xqDY91bSWi
Oqud6d6nUa1Y69zOuHodB/XU2pBFJ/ZtG8y3iQ6FD2qUeEwcO3yuysS5aBBcHDQbBEplN+Z4FU3G
jTGVPRueKbTbQ58mrfHSj7XlYCqt+x6bKK1cL/oY84CSXQ5J1mp+XFWlDtYv67D6KmHAA7UNiidm
yq5vOnOjIj17MzMxnO0FRSQ6dl1rrUqzaVMGHCIZnAYla0usBPFQGpdqr5npsc+Sy0amDK4x38HU
vOKI/jDb6r2oQ0it6p1NAwWPe2sqFm06SgCM5rHv8kBzc/bR+T6YptozOBk9pqBeNtVfIwdJViXO
ml597Yz+NqPh8wfRJM82jBvQEml3ArjSnOvWtC6y2D1Vbo4fe6a2ZOFlfBWQa3cQz1Sgzyie8x6X
Rpwppq8Pzgmtwrkt2sGbdaf3wnimiCns+0lTnjI9qj1YxTjOpQx1mxmnHnFZBGRmOGrsIxfiJaS+
0SC33DdCGqNnOUV002JI5nHGMMId1fFJZDHDfqHT+7VpxzBaaVAS4CuvLelcRIqmnf/+GtN/VYpz
LS8KJvYiMIwNLuufr+V6auowHJ3m3Pr5K4IG7Xa+ZUa/qtdyV+xYzmFA8UlP8Ru/WJkXYmP4+i5Y
p//Htf6LYvNT2GsjYHItE2sa46df+g2U3kMXwrs6B3p4gax7XKdhHayqQbCvtVPXr/sA3QGP8HgV
OOoptBuSBPiMrLRG9GLDBAnUaQXC5EVCvNu0Ok2IlBXUn/nFxqPIbkKJUEKPj3WGzEBv6oljOjG8
cUA9SCZBjkxy9NE/bQeNTSrq8Fo4AcQEdzcbLCl1fSuEqa1q2XBRuGKNH2SXoKIp2SuuSrWiogmP
OtZ0Nv1wAfB7oaZMoJn0KEtHTGF1mKSUnuF9yDSQDeapGx3OY6cCD8aFZrs1exk1uf37j/jnhwi/
WfpIvHwWz0uQcIb7y3zTnUltqfKgOat9nmx5EGT88GqBBivyzRLIj6jD179/yyXh4ocn5H+/5y+f
pjISiNOnYXuGvIouHEVAx/Brbm0gkN2prAPGmBaDULvGC5y1DHCg3h9nOpMVnIFjGTtPagw2EhjA
1wA5RlXXJzho12owv5lh/ZIPce3VRV0dPr/xf3eyi/v6r8/km7j/aNr4/U9mFssXfj+ViWrg2NWZ
8/6uXfzjUAZJaHPkMrSgBHBVPu9vg3zBMIM5Boh5y8XT+bPphUcPJxVOh4U6SPTUPziUP6/jH0/l
ZSmgMwk0GY3omEeXa/IH0nmkL7tYnrunpqzryj4q7NsYxrnM8nP0KSJJL91ON1IvsgKaHFhP80ab
JoQwk4zNSwdl72VXAoIA463sTei0pw7tnjfobXHIAze/nQziebpRVEdyGcs3cL/DhZ4P6a3QyGwC
/QNrWI72B2JvsSt5eGy0pDHxHtayfIlYaLjgPdzUawbsjW62TXWNwyQrzC89NouvihHP7CCtGLNm
VABumLRspTou7goLSpOe6MhKGD7HkZ1e5XkX3Olk/9x0lZJFt2rCmhaptK3V836uIp4nFLIO54wG
nVDnDTu17/RVz6oGqBcdbjm9sg3pr5tGc3Bjlo0uQEFYvXpmtJz4uQlv+V5JZjTydZ/a9npcdorM
MMA20zdM9UvadWg2+lz6kEJ0z8aI2lSQZmXFoGix/qh945qHvsIVFHwahPLFK8RqhNZKqRcL0RQX
hoG5vk32U8RuFGu4uEGd2ts7fXEilViSZJJFF5UVGPPJTGq5d2on7m/mxNE2E+KS2VhHXJiQqF1A
t8rvhpN/nwiLKvmvnwiEurzyTHht/7tOX77w2xNhoRzi8uCOE/i/PyUQ3+p0/sp1Ter0z/XdZ6Tb
t0eC8xtiamaYFvaQ3xd43+t0+zdnGTgi20AkvQAq/skjwVjC6344h6jUHR5GnH4WVbrOQfhLdVOE
DuOe3kGEiV9pVzHdi0JsCI0xHDq7nwAl6O0R2lC5NdQZ0NbYXRWJYJBV5F8ayjAWHO0OkJjpu0Yz
rcPBMlaJiOo1IzQiiLASe5F0FO5wC93wMOZXdeg+RuYMiw0JxnpU5wP07mNjigW3w2BMibb1VD0G
Tliu59o5IW3DQVCm/a7L5EWYJ+gEhXkxOzHCSWGfLF3chyardhk71+5gp17RxNdSbV51zkwgySHS
LrNaDSy9cNl9wnrmk1XYj4SOtWvUNU9uVj5aY39wU+042NmdYrKDYYG1Bih9XzScxYpGMEAwHGxu
vqJINlqoPOs4UUNKcanC3Wub6ljZ5RNe/rMR5ajOTELQRhOBnyVeZQYfrRgXL57NFsmakXCPWQZD
arRQBNeT7zhF5/c9wrUgyS+bYWS3jw6ujLCGg+Y7D0uPEM6DtkXfsUmsGuJgj109pRJT9PnKCKw3
XVZ3aTdtoCKjlwyLq1FYmynK9zGQcVQv7ZXV2fdRHYR+JaYnaxEnx4OJPE8T0K8K+FhGDBSn0G0G
0/N1Mxb2Rouyi1HLPqKZlSLawHsrajSg2jra2tK9THpbP2eBvRud8LY+i2hvgXlUB+dgTSh8qO03
sQ1jR9QApOWc+NKQ/bbpnKfIYibZ1YW+yuA7YToqVmlevqW2VXqJRKqp19omc8BDq4y95bSLQTEt
9eKXpjE+aAs/mJuHu7AW5wWtze44XE1UcD4SVfFgmCkpApPDcCiIUVzVF7lp7TNTg1cfbRonhBFI
lIE/jaO+1kNr2jqfJpXC7KQ/9Mp1XA3v7pwOi6QQFIoKcHGuRbuyQTAKpdapfVlwWiWgP52Gr3Bs
xxPC2ekLx7Fsxlcg+3doVjxUKL66YFe4dLmO3Ef0vzyQFyIkA9raj90QpaHdIVkEJM3ADYakzJjq
G2Z24/aEBemBgTw92iMYPAZ9q63yhUWZhQn3hY32BGEosMOFWYkIS90oC8dShdZ9mFDCU9O/GSGs
SyIeb3CZo0u1jGZfsWtbRXKARj6DLsTzCS1zRmDOnZIsJE1YLVcBaM0oV1WvWmibFtjNDHyUBMPZ
ltexECiIIXQ6Th7sR6s8j2ynVz1HvquX76zywEjC98xFXvl22qaeMiqpBycJfKq5wE9rM/SiWdlC
aUzmF2Sf731zTJI9jbAfl3QfdcBl0OfB67QAR/WpPgULgrSARTqiuy+ggDFRjh6UMP1IO24ZHbWj
X0EybV0cagva1CX7BeR4dkcEy1d34Z+GI9edsSBRyyL0xTjXtM0czMDLiqOij+ZJA6aK/6I+jz3U
JkJHEt9258AbF/pqFwTlOmwgskZDf+qblNX3QmvN3Pg2ariaTRFq+ybD4iECPnGCDogLmuZrNpUW
YB4apTbvsRKDhTUYjTCH58aKZlo5ZaHHQocJNv0kE6/EMb9bdMQLazYlF4Seub7OhXHIwNGqgXoX
LLRDTe8vgoV/aMzziEC3bJoE9ZvWPKWu2Q6+1RZWsm675NB1PTgZ2Ru5vomHoAAuFLfItojKPP7b
JXxO7hbcy1/XBKeP5u2DBfAfIW+/26yWr/qxIAA+zg5yKew/oYjfCwLtNzoHixAizuFPgvH3HoHu
AbXP0v7TJPzuGf02uLN+oxow7MU4Sv+6wM7/QY/AXvW/CgIMU/qScrjwyQmk+7lJMBR9IAkiTS81
VcjmwpVxpa7jPhfKo1MS9ubnVpNPCBWT+lrjsO10hMpNvhv3ezVgL0lZHqHNT6TzQOIFg7W4v8Oe
3xzUMStxvYTJuLJkkSLxFzhT2uBySlGomwlrykpHlx8P+U2ZTpejkvUI8/VXRt7m2mzSQ6XOV0Qh
0C4EzcOoFNvKLOdN5+C8VId3C+ZfZZS8gDFXu3A0Nz0Wop1oXeBYCTzHRvdRpoCH0VTLr5Bj3Adh
fqUIg3tCnXCegA12yuB6yBNObbJ0diEQEuz1zq63FuNnikbP0p8F0tLVUCL143bK2M7Wve+aItmR
fpT5LmIYYLiB5ed19NTBs/UKs0rZpMJgnSuVJ3UErhA1jMJz0JLRLoL2Dlm1IhR4pdu4mcZMyXYo
JSufTS8KKE3LDmoNVMeW9vho9eDiSzufV+1IV4atVl+HWqydkSVeYCTTr2iNYAm0oK6s2pZE3yTt
JiqJoeBZylvrifMYkNyyQ3A7e1NErNPUa1BVxxQLZqI1HBqE3hycqqGEy5F8hHwPRR1fCFuxoFSn
Lbm9+pCSWgdj7ItWG8LruqXGS5JTRJ3SBQ6wTLxEUYFgV4TzRjXza5G47D4+d0FGk35kZfdYt+mx
VNXQy21cnQhk1vBCQTIoxMDqXEhMLs0qu8HNdVHpzbOupMdkiBH46vkd+JzBl5HzJqr6Sg/tc5GP
2IEjSe9nJlPMA5GDNjnnZpTMJ80EzaKmA+GcibXGPBHs0ynadzln9xiwlR5p3v18Dt/mcWCAxnp2
VblMyEr2zyvTLfAFNOYbtUDDE15N6fVk6xnMwzoNrVAOyXOxGE+yML0YVwu6rQoKYyDOkpUiBiiz
3CkhSRKqE/pjzL9MeN1Ic317IsojVakUM9NNyUhCXAqrpvfUUT3bJmD/tDFZlVZpe6GiwbLiEa+N
mel+nGHyUHP9xRo11olTeTtguIGKPYCRLNji1EzaMPVCL2BEzzFlf+RB+J6VToYBJVvLZMIWpiRX
5LTBa8G5rUFzWrNsJIxJW3D6JXHGDpe+ihvQK1QoaV5gyjBeKXjfBlaB1OUXRSvLu3/Pj8/zQ2W6
/NfnB0FsXcsk8dfzY/mq7+eHRkwF42hSOBlHLyOh7zMmXSemwlTxzDKr/sQTfj8/XGgsPMuhqmDy
VH/S/MMcAANg2PSBn0z9f6b5X6C+PzeUNhspZ0G+8C04bIB+Pj+YFYdYuwJxmYK8mPazVaIv6yND
BpcE6Bio2xQC23bgQ9lQdtHttEjgIHtWtB3I4rTAilfkGaZ+50rhtSbuU3VYLEyLpK5DW0ciRghN
NH6dF9ldbkSt16DEyz4leWjzkkWjt4j1qkW21zsk1ziLlC920dPAFAgQeSL0w6Tb+9Ei/osshI2L
HFCz48cefWCMTtBaBIPl6BX9vI1r8Aj9IilM0RbO0LJLtIYU0Oy0FvmhvggR3UWSGKNNdJPm2rI4
PTp2+GCy9SuUk8gfF0kjcVUFpKgML2xbfzXQPaLAk/gzbV9OHzR9pjeZtd8vUsksL07jop0sQqR2
i5xSwDVa05lX67TiYW6UNOqz4zZrrR8Pxhwnvo42EzjTpiv7g4ZmU0O72aLhbI3Wb9B0omvg2YE/
f930xodkqZsOUMFdYr1n41iwNpvh2oB1CMAY2igKWQw7y4Y4y6pdzsp4LJO7jBWylMV11aiHiNUy
+TikLPGA7/lIu2X7rI5xU2ylojkbx6ouNDP/AraVk9kOjqgbjmSeAeZC2WFdMOxorvHkVcELWd6h
7rdGGRbXyiynaptrbJtDNVWfwDIiJbX69E03DWQSDQ8fvXvDmbGxdXfxsPHXcTd80FK16wRfwirv
gdNO0VkUgeMzeZg2tYy+Dgor7sSZnqmk7uQ8Xmu99mI0QN/K+TkmKnxtma3h26F4j/XxYlDD6WXB
0q5AdJJFaTBQ6DkwTRVSu9lcEwi1sxtHOXZ2fTfF/FiwNIldCJ3LYGyBdEYz5HPT6yKJlCC1XF9a
k7qb7a9aUgp/4WL0kmyrvAIzm5G1loasQUwlJjqREMoKznSDP2KtlNFbmNYzSLZp3jjD4hUlvkVX
2mc2hruS2wb9MEAysubYZbYzQHz4Fho5TuMgAmIBlKspUJ4abLVWZWgoDpJ7E8ouSXUs41rSX7ib
AWpA5bBTQHWyvCjoHjiCK2o9jpDISr+2kbyscvHat0hdMlD46ZScHV09VFhIVowDDsWQsTni4F0n
+EOaiHzqRPbDth4JdJIRzY/uZq9F6jzPdunnmbln0vlspEZ1OysW45HIIe5SN+9tJboddY43d3iq
IxHvq8jdz2N9gN1bHdA6P1moaqhiYftYeCqdS8VtryPV+qjEfM7zZpeWXJuzheWi0orOIzPzpu9R
pRAzFnbxtkki109HPM7cPdZL27f7SE+6m8DpI2Iusw3Kr4O14Or+Pdp+b41Y8v/10XaVvb79mQ9C
56u+H23MSlWypS0Lic7vO5IfWiMQvsBPmJax/1w8a99mpYsPwqL1UVF3ik9e/PdZKT4IRAgCZQCE
G3Z8/+hoIyn9v482RA1oGuiMdEDAv8xK+4nUF8kc/VKOfboWMn0s++nGJsjNz9zwMtfq5A0sVbGK
J+POIOh13RtKcOvYw1clAsvAAhKfP/Bu8k59tcicVW6j1Yub4EsTgh4cM5RPfVfcsPoItyqEzu3Q
Bycn5wEcVfaXzohvrX5+jHLJoZPJbgXXcD2WEY58u7owqjbnFSMmR26xwcd0y3shO2eVw+qY/LwO
OVnidNjZyU6SqXsvEJNDsQzfk9Y5iSa4VsV4GZG9V9oaaXL9dK2zlNkIB0RNIvqrUeem5YmNGl9H
F5kvdgHce/Ncr426A4ImmFYOlbbTIipnVy7c0Fg6fkct7BtpsLXSjEWwkQMaq8QdIZu0EK7Xgffp
qpYeiEJ3DaJxj99DgPNFw8hQ6sF03/MyANtPREWbX9i9fOpUCMgVz/mVMOJ+1U0Bpv+e5ag5Th89
yYe9Zm9sQ7E526KHUINa5DrKOnOyeiUaBsfxvEt0+3KIbdQEMIfK5qFUzC9dNx2oaUmowpBt2Gj8
tT05m9eY/WElmNaNw28oAMyPSa8h4TQ7N8LFNq5+SUdYkqPqapwNsPNde7jPdfGcOO5Zr2wiaPAo
b6pOI5lvtA9a4twxp4OyMKugRRECki95mI3gvhqbc9Up+BKQ/7dZ9iGU6GXslbvK6I5jNN5IwgPx
ojx1SvKWwcdcmeaE4bAK7dVMae/rVBbkuNyCSYqRgLonPqbjkNgeHDkvEF+1yvSJeITtwHqPkXXr
6WJR3Cc7K3HKlRra2zkBAd0U5YtRWM9G3k7rYhpfRYdTnosc/35I/05GyFHrs/eAK9JtcBuzDdhq
mXXRWdOutOR7rwiGuJFxZ9JAhuDSIJLWV5qKR1JL+9FDqh2tGoXsJCXqkJMazrL5Sh8SyS9pLmiP
TRIKViLXb6RV+azod5Oak9/VYt64ICEtPKMnRoGM32DP4Np4zmUMc4nSKyIgczVLcc8UMbqehsbd
BymghRI/9pbejzasGwQHm5b4UxdRxynVV1Ce0j0OGiGY10EUJJNP9m493/doABYd4Oi0LrjoVNwW
gUEJpYTGQyyS0hcafieyDWjBBEBXrJWEL3KaJ2DvCnc7VQM5LUi4PDk02UWMwHHRzWjMIIznsjcT
5DXcblnEJV0MxENFI2nmDJAWCIwXOu5461TsCaC1Xo7R/A76BEtI6HhxXG9U5K9dmoPSGzWMksCP
vCX6OLPt8wh3QVZQq1TnMTYLXKRYW6RDzraU+5iMgAa0VjaWV1ncbaoeWe+stAR6tuiIenkhoiI8
Z+l4nwri1SaUzmh3z23SXI11d79wBBqD/UoYDF9aSzyQCfOUqwRo6EG9TuCswMWaZ2zh8QOqEfwz
M3BiuMnnIehdkPtAO9MoO6rDvOVPETXGCfNiaT5XCmJdvVb8xki/kr9+XyX2Q1XHJ2CIX5qWWHAV
8owl3QurKyFB1BHT8XpAfyKhkamB9oUE6BtHL458eJjUExpVmdr3ed8DOYOnsjYHJ/Jrh8n6rAhC
KeCXJgRPlJKbaeLWY8lzbiNifMKexOtI3iQdTwFdu1A1+8Bo5JiaGa4n15arbKBoCfqchIQYN0ln
M/gQaD79IJUfChl/m9KtQfp2cH0q8pyLwFXIsOmmnV4QGRoGr8qUH6N0vlcmA5HNOL0pfZ3cTsyY
2D4NO+b0ePwnduJ2WL+x8aD3btRqXebFfexAaa6qt3imVA8RgN2NBZznQr+39S4nUJNPI7OJZ+jY
hTgBSEJr2CN2C7zA6vBScTpU8s3VB3Dweca11uZYz1aZGirNRaNqMORZChY+EsN20waydV/0vJX/
j8Iu/z+0+TNb/euKyPvI/ueMGfpPJCWLOuR7UWT8hh2cVTAPiM8cgx/6fYGjhdKGKcB/kIDfiiKB
QUZVmQWg51wqowV/+p95sQDY5ag27L8lEgdp2z8yhy7SqB8lJXhT2WAjJnVUFwea+ktJJIMuabO5
0K8KVM9qGh/tMF0b/fR70UxM6Z9HZoLl+umN+Emwui4wA7blBg6eX/fUpMGnmADS4co06Wkk4cPC
N+fuIo+ZqZV6CK11sJE2y/LSnbpjnVbcBA2EFOLM1kx0Ieo0WnroG9P1cFerawNNy0oxqwVn2DwN
bQXZ3Iloexf3StRmtxVvCEo0u+Keo0mwgZ84tV4T89Lj9sd4gTPCOdRw0118O7DB2plniYXjIy02
gdVvqHSl18Fa8dp0pCkTj4pjn1zRwXHVjKdIZOWaDfEtG6obJR/PimKeZaxy0w2owQF87kkX5nGZ
Iy90NYbVDmIXHkmevrRVXS+vCSneADJ6dJ3mgwnoS5hPz82yp007m559iq/MJjhYdh5vbNvcWW4A
BToi6chomvvSCnexQ+2TRdGBtcKXYojSTZ+rFYZyAIRZOVaegiptlbEp22hyftHyfPH1J5fCwbI/
ZcSPA4eurfQFgeZ904Yn2ODdqtSoiutuC2eCEXqo4PMhOX6gUsPrSPZOpJu3yoQENpfEBNnuiytZ
kSLE6Wr4BW0ngACh4XeWAgyiypbl6FdnYlmtWuZJ6TuaxgKbUc3oRUPWqA/EV0/MeoZIizepll2R
Fp1sIJlt51ycwjAImfmLrdvzu40GZqLgYHuvqt0XBFE7DFk3ZTFPnjG3D7EF5TckOXhlyOy2Hbo9
Stzeawz1Tc0mmDjD9JCBPtqOxnypA2/HrpL0hBw371qmv+tDxkgFFlyZuXvCKjXmK8MWP9Z1njre
aJfW0TZmqr6seJuT6imy22idW+Udkw0OjtpOd0NnbG3qRZ1cHewWZBhziZGPR7KOr41R/VokxKpu
ZkeRE5yvEUGqOqbUwJPeULkLsE+eag8bJEuLt6IZL7LMJJxt0pazcd8I432AphWb2qaf2VOvoIL3
D6lpLA6QARYTBOFlYEHulJcm+t5g0aphppLLFt6pX5nP3Wip8kFsArAyeu6SqxHPTw+po5WE8Q1e
OaTaXslN3EtDf3SgwXkKBiAzTrFbtH28BIQMz1Zit/4YVqcwVoN1S5QQZvJVJNpjlUDLlC1APfk0
B+xWR5dWKlHJVi9PqcUtaxTpFVMCDLHKfs4wa0VhFFECTdjq+vjdGhBgJUNikJOl3UTS2o6AhlIm
d8gsccBY1dPQ+CRm7uFlEeeu7CbLfh0T9WU2EayjH4fTlr1k4rYfWrxI3UVVhqtMYXJUQDbesBGP
XCHZ2hr+YIgdSK1No0VMoOaq3xp2Ijeqhhsu7MVLIUgXGMvBC5QGINxQYUEuLqdyeG7KBFfUJB6k
VJ0TkGRR3y3gjNChFduRvaRl/9dj9Gcn//IU5biADMBzaJE0L+jZHxWAbdsaIpis6WpA2rsS2+Bi
vC1P+0SulNfikX3THufJKjgwXeq8ZGvsfzjgrn4/F35MPv55t/iftwcSaSBm1E2a/J/fvgk6s1es
br7q7dcq2LuqpBl6Ucr/yxfwZ++jq7gFICBbQv10DfwgdHQlZxZbkvlKi48RdBW6KDfck/my+vuf
5+fT7/efh98nZyBzB5t4uZ9/nhoJiNlpkXplmYfGAsXKyko8/v17iD/7zH78YX55k44OvNWBtF71
m/aBTZHf79R3x6NZKk8519jqBp/+Kt/ou/szzP7VuT/Fm4fWD/zr5GJY7UAXHKXHP/TKDf/zH/7+
+9N/UU9/XlNLfJENvoLtwqdu/YdfdtbRvRSTql1hOj0zQvDVk/YYXugoS9adN60unrXtuD7Xm2Fn
muv8wOD6GjfeBrDu+vNb+VeJKP52a3QbfzTNn2yNlq/6XkUuozWNzwf1LxPyxfjzw2gNFaBuG8ZC
gl6GZN+qSMP9DUwOwiUDsMciTP6jiuSveBF9IY3jiRAUZ/9IdbB8az/VkXgrEDXyWp/TOtf45clA
AmwekaaqXlK7sn3NEYpZ2ksZvqMInk369cYqjrHDbjkeXP04VPx5w/zG4lnagYS3nPAm67oXyJ1r
dVLGLQChp6Ixt+icb4yCxysLbzagzxqbplU2Isi104M07XaxJqEtCjsmL8UdAU812Hg1W9c1e101
rp7R5cLm0w8mBlumH68zeGEtmZ90VGDrfJSgSwu8KYm9Tklmabuao6eYnwjA2VFQxWuRyqvRjp4T
OrbZKY/AP57Qaeer1NS/KlDyEAE9pBoqIXjNG3bfm9mer2IXJik/2bZyk24NitNzYkYDRgAh0Q6G
vWQLjvaaAVkhtnatbJq2Z4aSOw/1AMi2kpO9nzvEUkNANotKqZkMyo5unHQVBo67DgdfKca9jkdz
qKyboepuJpk395k5vWYV4w2rdi7CSH2E5HJw1DJfV+p4CtPKBN9vK76ZFDvZKwknancQot1bxPBC
WTUvJu2dgN2XMOjuJ8dksSwoueDGvqQqA5SsNk6ZLT4Mm1xEXGz3n0Evgyp6DIvBRrYhMr6ht1gi
TbukRZfnDH4FhaVr+Z2FYQZJYwoTtjgpm4XmLEdJgEMA0GELggN0uCyxps+iUuW+dFi2S9udEElJ
kgjAjzVwPmMR9D5HoXRfs74eOP5MXcL0U8d8NRq4+Ne5XoL1yATWnggDRrVM0bqaoW1pvBUR7hbi
a3TPYDS30vWS/xpUb5jbNyvoxNrFLrwEkqLnS7ypQKhhL6006TI39lwxXzTssxJhsJd6xWuoTHaU
6CkbxXPhjAMtQX9bdSnhbLi5qAnN96Rqv4KY/JhlM61Ysj2EgLtX6IGIxhkn+Ff6oSmU2Gd+ZfjC
XOa07A8NN92JqHlm5yg3hiIy3wycZ+KJCZUWFg2GPbzj4RxWRTZQBeZwZonCccDCuOEpC5Vz+Jz1
XhGS+TIm72KEYZZzvRSgyNP5YBXFNimraxQWkQ9D9b5aiCBWGW4zgKs0peSNqtZjgMF6a/InjjY8
hnN9HQfZehJKexza58KkMA0mpTwQwzzHHi81rlQ0RWyCFHSzIFyVqCUEY2TCOyx7u6i+6bCd71Na
ltkqzjOLOzjuXzFWNOsMHJq6qae0efv3XPlc2Wh/e64c4iL8E3X78kXfjhWspoLHNnkEJAhoi/bs
j2NFZS/DAMJATrZUm3+cKtZv0MA5OWyHcMbF1vJ9NmGYCBjQxNnApkwbwuo/mk3YSzX743CCqIQl
DAO3BHQOaOLI8n+sdiE2S5ob2zwjMjWae90lrgUS1JRrHmD/zl45SavHmMZTAxCeNdZbdciugTKt
XdXIcq+JRxmvJSkx3MuO1SIpLRsUU3ZvmKvOxBrHUyS4ANgAOBjW6Zxel3n6CAr/hsXKyzjopBMY
xnmyIE2Lwow5dNDnQBH9AijYWulqoXsoNiJ0y8p6lNAZiiTl4ZPiqTHa20gLniq3wI5P2j0Nahbl
4fiQov4kz7Sbtz2iuKpEQmsDky0JuS1OQplwlDPLj0UcbFAaDGiPmVwEYLe/6KhsQ2AHMPbyAP9p
sUFBNjBKTHZ1ouwYJ0vUbsUX1SCVJFMA5c0iv49D5U0/EWx7gvvrjQhJ1m42s/nJgjutdq5z6KYu
GOZkvtakdT/07SOnsQ+Bt3ZP/96Iv8uCKKr/elLoZ//jlc3r+5+EFi6tzQ83I9GkrooqiNHIzzRQ
gPsLvA21M3fVp1v8j/UpQ0JI6Gg+lznhoif6pixdXCiLEpQ8w8W68s+sJhjXfr0dHV6H1pMbkWaJ
1/35dqzDYCT3uW8vVVE+DHi3Nr1RewqzzZWdtM2VMgfhrmAa8mQKqGCuya5O2qzwnBxgTav0BQNz
QDfpTBOuBuIRTbntNYg51hWkvM3MRnaTx3O8YurVrKXoSr8OXGhm/8veeSzHjlxd913+ORTwZvBP
qlCeLHo7QdDCJzwSwNN/K9lqJ6kHPe8IhULSvWSLrCpknn32XhsyCb7yBVYfgo01+QkeCO8h6MQB
2UBQNQcy3HOqIxNfzFbD43Y1PUVK2h+z+q6tFHpKS4O9occfwkbpsPSTVg7nSufAwixjrPQ2I2vl
sMappXZR0Ls2NyhJ1QJQfi5eot48ssPqTolC441xsY0bN1lzqIEpm5x3F+rovu+xy7aTM2+Davpy
K/cLP3AWwkOBJ9eMl8FkPQuzwgo5FNWKJ9+bOSY3CeC8A/83PwJRXuUO6Axr9NZa4lasxvCIbJgt
dwDbq51Dawd4i21cgYGIOGEJrn25hbGZVMNHVdQ77jOfXitvpZvHexCiLKhHJ97kclnCLNXczaBN
VyDOQdnTI5LSJzKqYhHGgwqeC8tDUVM7QjnbrhjlwXL711IVkzQWFSUDTNZFlZb4+vwIlU3611NH
HLjupwV4B5pHcJGwhVvUOi4i6rHpMi5T1QQixF6KaVemBH6aNAuojWOpZ+XmAyAL1ipq4WfSbLBQ
P/Cy6N6qBugdDPeDW8RnjEr1cflZG0LC3uMY3shMvzUIOqAi+XgcSbyscj19VEkYmCxsIi0N9z1I
QZw0LtWJTtWjj2jVdZyBWnZZZpou4XsNa6vM2s9hQPlm7WkPgl8xbNgom55qJ/30rPIi0gg0C7Uz
lS3QPk8b3my1T81s60Uzi1f0U1ptWLnOgY3hlAe3qZOjUVtZaqO2mtrTNou/nQWPXna4gl2uG3mX
hlru+mx5y0V8c7v3N5id3ZWrVsF1HjsrbuYfBltipkEiQNNtkfQXM1tk4lWvPXoIKnCwalh2Neyb
dfbOE/vnWbLDaiLzMS5ZTSdtdB+xq8YmSvehGZNsrxEmczbags12xIbbVavuIgb7NtHUB71Af+/Y
h8s2O8d1y/lDm6/vjVfSsG8ttUIvo/SmZafOzWDNLeEYg+gbXHmq2b3Hc/+o9OhYOKCbnKuEHb3F
rr7WUxTtbn52Bt/fZbHG6JRiXeMxV3OYaqCvFF8mmkaAumn73OIRsILxMrfMQ4J9YFA+gpHjbN1Y
8lArjwFvWKhQWnELOukd2zacFeVMWFx/x6BgbYCh+Buofd0GbDEe4ABjnPI2ZHWZHYRHT0ZnbH3l
gVBPXJ5SRoVXe7yuiJCuTOh32wHzRKyT5TRwiun8Cngm3Vize5kNwYejfBe15z5gwKfVjIIBS3kz
RpzAYaUecS1FBmOs35kYOQrl6DCVt6OD0xUYTrEvCRCBviAQppwgLu+3YYnvDN1+95RXJDb9S9qe
IwolNG3LguYWazk8cuUxmU3v3Uy9fEN7Km1D7NVn5UgpU9NWtrgtRPRvakSju6xZsnXaGvdCOVoG
vJEfdaLB6cTtQksxlUbpk0zGqzZI9qXjfy9onJuejBycJh1uFn72ddo5lNaxGCmfSoBk8eVi0j/X
u6PamTsnx2/vA0JPUIE85SKpXqslDTa1PVpsbJdnFsXTyhu7d7dn1F6G9tpOi3MSG1eWE71O3fBt
DAOFm6I9Fou5yWNmnKF3bga64oZAg3yotxU/f7Pxi+lC16ATt4PQV7AQdaTa4d6asIVGIKmr7DHD
z4AP1VeMouU5oFCga+bH0pE3tcyueT/wS5iGhzI3zotDKgcXdIEpFKKkhyoxBf2dsOazQbsK6+eT
rU8PwgwoCnWu3bgL64A1rs9/mOzEC2n8ZOJybA45NzWxUffZWujwB3nGhnRj7KH879usZ3IsOx47
LqBD15pXVH8QwzKiYkf++LAsvn7QcnkQmZtwWSWKBhXOPMBySsOgyCg6tWoBxB4gBDXUBn0U7IFM
bHv/3Mp+bmUqG/PXt7LzW/0/RDf1Nb9eyPBjs7alMp6B5pe6+N+nI/NfzOiEQZVK/SOf/Sa6+f8i
AmTSMv9vQzab0N8vZEh0qhkJAV3/ccH9jagP8eP/vJB5Cmhiq0RRwJFlqQvbH5TbtulK1AJzuarV
0wWJBOhdgFZTO/ODkTW7SIUr8MOEUT2860P0mqqyNn2yqY2MirDJtQcK5EPdmS+dha2M06NCR0XP
ljK9ctNiO0c+vUuUuKfGYEK91ncYLi+lBb+irHZ+HOyHzLxCc7NXvstI0cYse8hL3LlONWx7y/jS
XHFiQsLxPNrxpefminGTIyc0zmY2e9i6mr4raTDQ8S2va9N/9GrrujOLK4fk0mpoBXZjaywecxKe
0ZTTBucEN0UW38UyXwsc8xiuM24vBfjAubfJlMYZjZhD/SZ6/jmzM+4WDcigRQUb4Zc9/U7coEjX
QStnI9dT5QjANq6Pgx7nGypkeExgIAxBEa1TOnaDpnjHbhqqSXRVj9yDfvp4KxCOE3MbvO9ky75s
3wrBMqwPuKzyWVatvib1vpZe0PNL4W+kmn99ZfyIcu9CqlbgQLp3jeoJnn0agzVByDYOaBH2qRMW
qleYy6e7clTXMFmvs0v5sKVaiDvqiLvYv89UP3GqWXubwmJdNReXlBExKOADUa3G3DQnhUcng0zj
caO6j2fVguxNzoGw7hTacX1LNGk/qcbkhCTyOl5oUa5Un7IrR7z8qmO5pns0Fd2wWRL6l5uosFcO
lcytIVgGNsqOrvqaA9XcvFDhnDg+rR+q1VnrDX07sqvMV8Vsliz+IkG4WHP2sa/LtdT8/FD7wOWU
f2/EOkqVipdBTWRu2LOLrnBeSl87Gm7yGVNCuPGjPDgCfkg5O9sDVJ/7TkdU0ntzb2sMHJylmy4Z
nM3oo7aOojoJv1WOw+8KXw2XUEmGbXyuu9lbuUv6OJgNoCf8CusxqoHN+/oG4/XFIKaLstTtdetn
N0vvjyTE6BqTzqVQF7lIe+xZs65tqRyIZITcmOZnLpUDtAYnJXrW2XlFT0u3yzzzglpUPHlB/7pQ
wELHz0PADnhVOtEhNhtnR1C0XGcG4eo2q7ptmoi3QM+p+UNPKGKc+EFwKYpg3ztUzGKQ+Eyj9KHS
ZsqutRhvtql/Wmn9OLKd1uICtJtvGm+YJDaaob3gdk1g2sN1mqg0gIWb37i5/drX46kzvE9v6U6z
U58Xwz7hp8RERAH7VFXmpaBftdAbetA992ThZiOSSobeTG651DDApfOr6d3n2sae/VOdptsAjB93
7xQbRa1RXO+xM82LGz/1tDVSLJ4wTFjuEK2FtlwnDglc1+pRXaOwJPWgae5+6cBu9lHWkNQGqt9S
lFskwSUew4M35lBEmbZsXnVTQvXypniXl8tr4I79FtGbovJ94xB4KjT6e6ERXQxyOQR1+m46tQ7Z
2wj9UgZkGbO7vnDegxaYFd3oHLiN9wgQU6yNMuJDXDEPWklP9I9n4SpQY0snzLn8hUn1z6JLRxP4
6xN3C3JR/C8RhK/69cyFiwcKjmgtMoiH5oc+8tuiC94GgQB0DlfnbyjOzq8iiPcv/jsH7i/V0j/6
yK9nrgMyD9AGey4TDxIm9L+z6OLg/88zl5MW/o5DJaHDstRSmuUfzty8hKk69ZF3Jh5yjPtmFJe9
NGd3nZVjjZgnlLDnyw6J70ftq4IEl2b1owL2WfIyoQuWSTOHSSfytUQzpEwixNqA2UPJiRUO3FUV
ZO8WUUWuxoiOs9Y1oVicM9xkCgkL7aVCoYQS/CSHyshvejC9dxBc9wF7AOFRGUgzHOp9qp3zSPgS
uE0DkVaLX+a6T64jPqfudVLM3rUjfPwrNhEiHmPQOarQiUpd3LueZm0jJgO56bCl9leN1iU8MBl9
scrn8ilHi4WJnFf7NMkyzJB6eykz+ygH59aJ7RnMpXjUl+J+sAF9Vkn9YSrch5sM9Jxgk237jAnC
ek9EtmAhts/uYELwmB6HJHXWFhKMNmqhVnLpjhXlwq5rPsIzJlFqkOyNYSdPQBV8rDc53AHnLvfl
VZbVpK+09NMMvPtysDkTs3TTlfxSHL+/8SwO8BjKxB7rKhjPuM5fZytmMpXpXl+wvTTKvVQW/n1T
GOaWvjkBqaDXVlNm7hMqZMU4tiFcroOVWHiby8SDxeoR49VzsTEzHpd03eLiN28iZd9kJwoDxDb3
hKENQBq5XAfzZB7I6uK7GvRPvQpCf+jKtRY5EQSJbleK4C1OqpMbeKfOIhiW+gBfaaeCLw/3NEi6
7RRpnxhet4U+HeipPcctbluQz2Hd0nlYCtVWEtXffYXZxU3J+A5a+SGTYKI0RTzzlqafK4A95Cqx
jbfXjY1fGldxde6dTOOQjK6LAGdaXCF0J8ZtVNMKQYNYwr2xddZAnLs177cwcapnLn+kAeL+2PMK
9t2wdZok3U0OqWNXb6rNIuxDOZIEb5wno+vP3Ojus55yzFTvHss4uU3sJIVNMeyMWJUzuPQAjkl7
O3vRPczam6UZ+IgYNMvMhiQAkKYsAtvoegDJPxeRRuOO9tE2Ghgmm4T27DAWLkZQrOVAu07sdDTw
6HZo2PNyrGrvKpsrgI2sNNf1IKx1STM5Bnt5wdXns+Cilg4+xcRdeulmNcU8uneaK1i1On0RlBA3
a4MPQGgbGQz7Wm7noL/ivvY8kg1ZI+wTsZhLd50M1jd9fMsKaf92WOp1P3ik8hpS7960UHxH6WSf
jw+mXMRes3l3RkpE6Yr0i2vSwjjqPTvSuWNdMx3GigV00ZoHhFkrhHZFybsGJsTGd6eXtr2VTXaV
xi4tzfltWYznOOG9LRPOX5nlm7QMSFaLZusWKHgSvzohAjaOjXDvmQtGzlr9OzLtV9YlH8wXqqWN
yTrmXh5p5pfdaY9d5gXrsiwfS+COGzMY7mb6MHepW75Us31ytIortkqtdfbRsyf3xlIdh8QjddBX
SfNuSRFSfQqrCywlS5fm0tXU9j5HzxyX99YyXxo/sPaBzm21DrzrZRi5vZELD+2WHSxYJrEKkvkj
min50L3+LhE9UNtaL0gTUEA6eDmlBYn1Wrv2XV+qpvTEBw4zRDJsB1x5WV2zNEr18wggZoNR7mtc
CK0IBy0nM8dwpFh0n+cioNPahqZGz92q1NFIQVNj5uaTbHSUOuuRdM7pRJJ77JoJF6mZhJbZ3EqB
ZDD7YIGMZSQuw8Xa8tNtH1tzmJJjJyie1Jfk4w9zGb2WglbBUrOhZnqEUCaLd2vdZh+uJ9A9o2zZ
OCLaxrY1710WMIeqtrc5DKEw8dxi6/tIrTwPl53ImtfWd7ai1cAKR7sKkewm0VIXdEEarOZO6tS7
lcEWzAK5S2eOblxh1luvMQ4QCy8yLwV8VGb+DmU6DiWY/HU0zvS4DsNn3ujZNql768j9FkYRyBeS
drHYJ0IsD4sseW3krG0dEE8rDTltFZvQTZx+PFhgGFdksAg6OuMpLoJjFCwnOvOI0BsoilG+3LRl
xFreu/M1z71g4sA0OABUQnG7rofkXpisyvLFKLZQ1RgBE61dZ1b/4TZUi1Fk6+8mH0/wbMQ9vSrL
RL1pct2nWJijRQ9zAly7ul5OBJYvosIKCRFcj/RRbSyaYcnuInCnXnsOnOzDh4FVdBErAC9AGHY1
h+YN51hZ/ryhoQkn30I5nq7LR2PI36pcuy7a9C5nGFnrGNc2WWu4q9auvwryoDEjAyOvTZo5paZz
AIpOO63+UqfoneOQnqNggM9k6GMom5aq0ShnPiEdnU1Z/NgkRQjS5cVFvgTwkG+8ovyGIv/iWBox
mv5c/xhM+/IjcsxgYwS4PQG7PlKbgX06xT5q0jy56LUeakV6SUYooicgPxUtNxGbM9UhlrCmo+iL
FAzQ6OjCp792p6fzkRhvoLSAVeaIp3Juz5Og4sedSwpESHHxgh5JUZ1oYPnUav9bTgi2LjsL0Wj7
qMu+8FNvu6Hqd51Xb7qaP5WV9qhn+sUSn8oMdXDwwBXlb8GQvScdD9+Raris9Q70AKh3jR+vO7c9
MgGglea8PCXaOJ6J07Twfk4jEyHaxHCCeWOFs/wuzWL+Mg9wGh8v0rYwVjZtioDAmDy5ub1yAzuk
U7VtuOlgA3aPi4P7ZajRNBp/FQXyybD45vVEt02UnXL2RDur7D9swGaxFxEBBh2keyX4JPFoWBx4
gYgxQRg0tvnWGbPuQyvZGJN4S9da3VzXaXBBEQrGdLBeg0a22cscGjrtcgdMHCWY2mfXIHyFngdt
iAL6LQ0IbFsWPNNQ1+7KseFH8wWBdu6ddN6k1LURJxFMPJ6VHOWcfSeGk25j6V/NRrarll1HpMT0
d+0sQmO68LX8PimoU2XgL9ckC3ZZNtar2eMiYy3vli9J8sTvvktJsjmQR450Kq3r5o1xD8i7KTOH
g3hsT3x87mPFfUExfTRqD64GlXNdu/H3VlzsTWoXRjpKI9+qb8QPSUYXqQvvCXCs9pSMVaWD1hBd
e8RGLVU5sxz9cVsVozbfzLw6QndSLbQjDLkxDbpp6Af5sZLo7hNA5hUq724JYiT0SttqXgZWINfk
NrWr0C7zIYzG6hmw+bIR/gg9dY6NTUEU2mrFnaS+eItB9rvJ2ic7JQJXcvHSorTfkhE6JJ79Boj5
mo5Z0tAeDqkkZfjm3tWt89ymeE+OBvXXVPcAceReqHOwdRxpvH7qteNuPgQzGk1y0bSGvSpqO5x6
7zz2KdhN7wLiL7moLnsz8CvROXNhLDO3m6p+52yhbIPSKfpxH7o0tY/9oH8t0ShI6mEfmkd/b4/D
NYg9XEMJuXFGCZSxRIZoJp8tjc0Wjpo1nRPLtqExiM7OWzMfN6KHhueUldzz3L0IQEl7s8Nh53Td
fhj5RGcm/0CHYs/cLrpVZ+CE7xYXjE22q01uu4GRv+YNHrfkKq8pN3TmlZysg9NS8BD445mGafq7
6/6qdLJPakNwoRowBef0XMX62QnmbSHGs20S5ypX2tKEbavFR/KbT7mMD32SvvRe/1AHFd6fRd/4
7W5yvTuM5kBKyvPcmK8padOg03gylvFhmb3lkA0FYkn2kCgx3eMuuElIwZ14KrzaZTU+lcsIP6fJ
TlOSgy+kzpW6vuVSjhRlN67xXI86VvD8Rkrxltc+nELouySwXgqnukit5KmUbB3/kdB/JHQ1f//1
QH9Xiar8HyK6+qpfB3pEdCxEWENxrv5bKf9toCcahcvNB2aLwwcr6u8DPSI6dXVkEDwDIC8K/B9F
dKQBnvO20t+Z7f+Wxwiv958GehwBug0+2gZkiE8WdeE/TEa5qMFpcFpdUe/XJtxpIFtaljt8tCxg
Rpvkj66kIS1CJMqM4DHq4QtESkDCAvXel8Wdp6QlxIeQziTEJlSnQdMPHSpUruSoVglTaTMS2kOt
yi3jVSr9qlNKVtk0B+5f1MqkV4yahxLJi/7OlaE0sEGpYeNM2abX+XuBULZILfQQznrp0iqElJYr
Ta1I5a1p9S/0SPOMyMXNnGvGqkKI05QiFyltrkGkiyMoK9kzAPZXqWS8zMluOyXssUhA/3JOpZL8
skXsZiUC6rWtVrj2CnjQaUEnHMVw8rvosw7kKTVpzlOCoq2kxVhEl1KJjbGpvUjUR3yJxlvLuLWS
KJNL1z6mKJWxx21A1laDiFE8TKiZ5An4QdA389y/nJXgafAzRCigJDHeqA7stmOUpxupZNJECaYC
5TRSEmrr0z2LptoN8rVUImuO2jr5za7/kV/LUsCOYcmLMoup9SpXUq2DZjso8XZegsfMDbbEJXlw
JDtdybwdeq9Qwu+IAuyjBEslCUu04TQhzDsqubgh39woATnP+2cHRVkqYjBtKt8VWjNRv5gwaHwO
mGxDgR4tO/AwBgp1F7Ff79CsTbRrXYnYjAzBUbpDvTFRuEXs3cXRvBtyOW3KqjzOlWmsBkv7gsas
vJJbN+uf+N/2osIkYo++v6nMFAZk1l9z6hQXwVTeuxcIQswwHt3RCGRhYkVJ6A3dN8bnPfWjO3ek
Arsf2njLX8SF0GzqaqDuPCcpO2rdnTG2OzjLL/Zs7DiF4xUK/elnBuwrihOEKG+GLAHF0uVbu4ee
xim2mTlNV2QcfRzULU5tjpqsBOBD6H5nxtUpd+xtEaiROGhv7Fwes4SFadLOZySmnW5Hp35Bl9CQ
i+cPAmvtEzOeFSZxUPpYUoV3a9a6TzeTj4p1o2MFv+1m1WhtsBDtLX2bY5dhbRN95/H0FVFosU7g
yAm98Y6emB65Xb73+dDQNlfdeHGw05L8xqjZq/glapMbhPXkMWN4Y5gWOsk4pz8bVmHzw9WbxvOQ
YKZsX/WTvUkiG89A4S3rjEwcjcNl2FfT1nLnt8k1Q3okXwnqItvPD7zQsN4z7TCn2oVokl2SayBA
mcbUpiUrwkCL9lnJyt4XTII+tzV7QT7qn0h9oa/McWiWE4E+n7xUml14aZOjHJiKP7CTrIbKuuQF
eewx+83TsB18vMflwEqIvFwu4K6WXZikwXNJW9+qa5OLsSbLuDQpU2HpDqslpz2o0c/4qD86afMh
YGSfuMTnNlfZer60QUIAwybsgb53MqXktVXKwLAfuvZjaMerbPLDLrPv9TRGLp/biwX868rGUG/n
LEF0XD3NpDonc/3OGaKvxlUFgWN56IPYX3feuMc7M1GhSyGXxYVbX0YS0dz+U8dfwcBeJ/ZwKT1x
Yoxlv0VVjR37L4UFLBjJf2Dv2FK+FXjDdeqOT7pZHyJ72rqj7m3yDA5wMgmN1Xt1a0GjoqWzvbJ1
7Olxti94AII2PEfuct8o47vZK9nu2DaAcBpufhO3OGoztq7bbizNOFRVN4YdQUOewhYXyv6kC0g+
2MmQ9WiTqPX3IurMVW8Or1YKoU2S4zgYXnytIEh1HN8Yi38R+Bh8lkVLMa3Jo+4SVqsk17M6JpyA
Re1gxQ420mS6tgptS8HItRn435a5bEVZh53bbzpoRVusnoINWn819/V17/kPUzoQRHQckpSlE2yQ
LIvn3IrmMK7H76wbTsmkPxaDwCtfXSQBHWJDmyJPmaGZtt9OPG+GwajPyTRtm2x5yA2THOEIywEL
TYdK2GrUcsd68AJ+6WlqppMsE6hWQ+mtmWnWWPhP1LOsk8m5gutwsvuex7g9H6ImYCNmRM1s792u
yx9HOjDz0NCEsYURJdf+5G8KPT2Yjto1ypKC5Sr5xEFC9GiE39W1xluwLFdGW1pUo3gx7hhjO7W4
ICILUEYPySXo88s+ZXAa5gnSSpU+VZl5XcGdsHPAeGMF1SHpPgjRhL0eHEE0XnXudFhMnl+tB15F
OOJhmrVHRkJ6lDDYS2GFdZEyis3yaszdZW0v/t0iSMsWEL9u0K/pTy28bG8LHekAggBTA7Ni8ktd
w18Hp/97x+/SAq+zdDAoUjTVHemP+4au8ZEviVRfGXfl6hkm5jVOmlW5Dt7ub7vL6ki7KT0m6YWz
k2Gyr7bJ0Yn3UBx3/1xwfy64Br/Qv77gXrzlX1xlRZ/28+Hz//+/X3Cw6mv+dL3VSR3BzON1sv4Y
zLL+haMeKzwrZOW/5Y9+3VfR8OSTbSQzxR9yheUb/rqvohfK9fCGYPN1LQb1vxXM+h98eOXex0fv
Y1TBvPufEUfsbYYFe5QL0FjEJwiWTXQ3Tblo9q6Z5jtps3ef1QYeRhiNP0VxsFsEckft6fOorA6l
2t1Lqdb4WQENfKKocGV7qnYe+cV3cHzILCXNE4ujBs7m0oMSAwJV37olPsaYNUOw+F8O5yXjOrsu
mJpLuXaTmPJhecogdWk/yC4F7yJofjAVzqtQYK9OIb4kckcB82ux6p2EAdYoGJiusGC0/FEYDSms
X4xz0AVfrL5g//lXUOcPpo9Q5Gs7DdKYppBjIqpODQyyVsHIYOs9F31M2VNyV5rOQ5yCLaOnO1nZ
CmVmwDRD4DtAtNlkevSCSvs2KPjZPIJ5zhUQjX0YmDHbUzEe6D0tSokHP61RILW8NU+U2p8blAmk
oPiygbnWwl7rMXsSmYfn2cPGryTZqqg+lgrYVlb93oHgRgUxUzlIt2CBbp0jbWCIMULLm48L/De/
VTgcgHDcoA6DQsQ1ChYXzAQYFD6uViC5DKKcKZuXHMIcFLVq7Vjtso1n+ivjOvkAX92u5xo0nTDm
HcboY6GgdSX0OlETi5IKaEcbHE3Jib2x2u9BIe9cBb+LYkh6YJRCZKpvTQHyKOe5ahQyb1HwvBGK
nq9wehpcPczMNwWR9mBsRy6sJNgUgs9R7KFJYflmsRx9OH2eA7AvU+g+A4afTSSIFeIrxQI3ja/d
j63xImtU5Rb6H9QGNjiSsiS4AufSm/e5QgW2toIGQg+cFEZQMxxOojreZubwAR5XQmK3trgIPmZy
kBXSo7K2pm73PoLeuJgchxKVcmAm60kKFyFt2/aOn5912mxMYgWle2A5ULZc+3vfY7FW8jQIeVgL
SpsivjhXv/FFoMmmEVFdHifbQENbXUU5ZEkCIMl+HvWrhQ/Dzexn3i7XfHyJNnQkQiZHy8osLjYw
aBq+Zklr7SqLYwunjl5tLN5tq9ZpLNpSjVnf2FY6HUpPgxvVVOnR96dl542O3KAC96s5YVGm03Mm
kYp9Pb5iugTebxqXFqj+FXaKm7njEO2K7Ny43LRM40n6znzXGlr+Au0XHbLBs2gZ1KpELaabnjdk
61o5glu8GjnYISQxSll0aa58buW70oQn6QnAA4YcxjNbKYxQFZkAbb7MTVYiAVB1XFMo/AV2eWaW
93bQdgaL0tUIyV64g8WV0T9q5FiPRlz4YVVngAZ90WIzafAbscTeDPHIzVJFXETiIZaD9d1qdcGe
tV/0j8Ywn7OypDkN0uZGttLfiQW2Qp4Xzq4qGQ872nl3Y95UGOXU6xu5JSnD6NQwghRSnuEEZWsJ
kQTK8U0i+al1zaEnojoZjDGpmmeqn8mGEcdSs86kph7LH3iFuEcgcG/Z78/bkhEpcVKbYAObM7aN
J1/NUSRedymDFRrrbmDQWtTEVRTYoxNQBoJhrFNT2TxgdGE/sYvqeu8yuMVqgnPULIfdmQ8s0515
6TPqlT8zXzJeCzUFVjbG21JNhjFueodRkdASyI76BMv5a1KzZMFQSRvdtImNaeexLPvnhvBzQ9Cx
ePz1DWFXfAnx31cE9UW/XREMxCyOf6qjgPr+mFN+U8DMfwWWb/MvAnNEuInS/X5FYKeLWfTXYM8f
UnZkt31lSOXf4BYQzvs7lhauKn9SwKiQUeKc7vI9fRCN6tv96YopeCCY0+AHVyaPOFQhY6l37Q/F
1dJEYm6cBMr7KzeJ9sb6Yb6WCv+6YMx0s+CiFUCv6zJ/56N1nNmXjWbP+9i2sTPXVjEp4u1yEJPV
bIYxuMGp8U3narr2Wp+NkLnTKESNu5R1PfE9ilJ9ClOnWttrafHutJQrqqr3OJM3uepYdfs2xPKw
58a813F8UCUs1/T0apiw5x2ko7PJEhCxiS2U6nAd9Hk/I2pQfmi8ZyW91M3oHFrfe64pgF1a+cFK
4BIGbwFUD57tSwBkj6p7MrZO9dXOfpirRtksoFsW8mhzteDIBzQi1uZo7Gm9Oo2qkVaqbtrc0tpN
rfpqdQtA5CA0eiOr5QnTzKWvGm4lccVVq1pvTVwxiU2nNLbUbauacY029ggAG28+pbkEo8awsaFJ
GhTqlhTrDlnG4ru6mlTjrlZGzrZULby0jh9AIHJbSEEpGjBbQl3aI6259PfWqskX+weXLcp962y+
KZ0cKBo9K5BSP+eSwLnOAMuqJSLRA+fEiuc3KM6cN4bx3Zt4L6kTlv18kal+4Ug1DY8/ncOqfbhS
PcREgTHIUE28UFFcakI+83qSy39dSvfSTrs11R1U22aMutGd7Og6boFBdyFokya50EwxsMlJczLj
dUG9AAUbcC2b8xQ73qHofBtBE3ku9X1ANwCig0vT05IjXZfjzkT+P/B7qTkTyfnvksgP7iJafoN1
8XNuNxWOmFEd5nXr2AWTG0e8MVcc2J5ozQuvKAY6ERAStAVE8T+Pw18GJtAOf/04BIpNG/hn/99P
RIOv++2JaP1LmfgsAFBuAHWEJ85vT0Qa+MCx0K6hWwpCjvD/7yci4DMb3x2WbgsiDOPT70OT/UPH
MFkz/GYN/BvGer7Pn2LHto97PwgYrLHVE8P8D4tfP9Do7FWOvB70Y5zBab6tul/G6b8c638Bq/2e
beanIACA+Shg1qPSj5/3zw9dgzALslxXX1sS/FjHBagDOJRYprCuEx0VSuGxpvxmqVLXPydJ4j3z
hDDzG5oI5nWil5N5NN163U3VoUmmC3L5G9cioZwaeGJojJvn4jpytLCoUCC7gKrq6q7XcfnPCbDJ
xrud0m4fzdAuElRG6v6M0LGbo1bLK5zZ78Wcv2mUyQ91faBU+5lAHxvtNLmK+27jm8XBS2ivNKb2
m/X+Dq1EhgVPrF3a2MNaA3206h25b0bWrIPHEINB1+rW/HjPsasfdILSXCHrYzOJr6Jj7opATBK+
+4pqmnn8su7pG538VdO1W4jcF1HvyZALIQkgqQAInv4+deIIwaHE3yXuRyM+Rqb50E58us20f8rL
uVsns/yAbXmc7Vaga9WXIplkGDSeFTpp5Kyjqr1rU7zhnl31m3i2LiGjkjztrJtCQiVfxuFZy6zt
wsZmw/lN9bzZf2degwEppd/Ca6prUdknT7Y2sacmXRV5A4dVJ2aBfSZeT9kgNmltEiMbAX/Y9fJk
MFNbvJyratBuHakha5rFvSwDuo78/EVrWntlyvoQGH12LnpprMk9HjsNOoNucBk2/Pgi7j+srNoG
A/aIUpprljCYFArxFC2jvY4a/O9VbBxbn4LdfoQH6zkfdUra7f/YO4/luJG1277KfQF0wCTctHyx
aIpGpKgJgqJIeI9EAnj6u1L61Ydqc070vEcd0QqyiiQq8zN7r63m7iR98Rr0ZbIJsvQ9KNkgxyJY
Nu0QPmBqfRc4ys02fUtbxgCkFh4SmzRFawrWNWkro91/tbLMXHcCZSSkvGOR5oji2GxBs0Sj7dCT
i35QW2GY4dqt5Bkn16cxlqTaFwOg76TT8s170jYgdvqxXANj3RaC8PGRG3DRp3MYZPc2XTUeOD2H
HZ9yk6V1OnvvWRZ+cS0my4kC2eUQeALJI8mvqhKgZ5ylzZpz5VM8t/dQXJuLJHduYlCqzAQTxcM6
fYHUy9OjWkK3FL8PsBXP+BLAt3F/j1n1Jizl7cbO/JTHBat6OpeJtQRevgEJl/E+GMGzEUCJ9eB7
+I6FMJfwkXDZ+uQk2NvBmfNj8x38pUTXRjA6mQ5DEGwf3FjBl0V+j8ityD/l8LOP7jJlZ89RD21r
cwc1byWO5jRvoH7WzTdSfGh20GnhiUNQlitSDro0exJiIJEeDEfvPdKAToSNzNllWSPZMIy7Tmah
rjSKltj7ksiAkSg3w5/qTRc29bovXHeFqmkdM06ZaueKHrSkFmNQ4vfrhs+mDg677mv/cxK4b6k5
tZARUEOIxdqVRbMek/lEOftiTPKkhpRUNvkcS0DBnDl3XWVtyTK7qy3nqCzjbp79jWfEj3buPffM
l2rLPIUqPkPiOs9lcrX0ww7IzToK52/oFQpkGdkm74d8S+z9OidjzO87Ik4QunXNeO1Dr+5aOiAH
PzNCYYVQeiLuLDBYShjMwrvHEu4OdOT+rR+Snd1OT0b/5kqexNHzd47IfLCqMO5ZVkSKIjaTs2Fs
TXJwHv14nPZt29nrLCZSzg2aobnOHaC4tSCubGm3/ljF5rrIOLdWeS2aGRvH4uyHue7WQUFdFjjl
Y972u25Qn5UqHvvWeMa57NwSbr6cufDaXVe0L61tHZPO+TZFwU27EOsMfHxTlQi5ALNYG1bFwdrI
inRXLmX4IMpgvorL5D6N468Ibo21ymVx6tBKUGwO8N4qpJYsX58rm7+iSh7StM42oWNcyLH/LJmp
oLRzyl2kGX4N7281ptw96zDnDJBG4W162Sw3xsCwxctQLc5zqLZxV6Mk6URP1FAvN2LwywOf5mDT
FsNGeON4GK1B7RFn1YSC1PNeVWZCtdeEeuSHLqpI3YMqQutALXsm8/CuF4nWZ+yzUReoRvSa1sio
F896oNT+3FnTfex23hG+5uc6xAxC7FD0P7LAKR4+3OzfL10kBSgLPHodhqx/uNm9QuIws1t5rhkS
eNYNEG+Pd+3qZfj/4r79WkXo16LT80B2gXf18R/oruuDUaDv62lgxa/OQQRM+LGdd4nx+KG0Ov+o
Fj7i+P7XS+h///ASpKwUhZKFOiNhWM+AFpLxi2h+9PV/W6r85YuENJo+tZVl66rr44v0SZ5PWaXU
2elYlF1OxrUxHv/7z/HnPwu/qg8voXcgH36OARFjbIlJnUVwX7a7hbhdqpDKf8nm//FKGlHxa9X1
6yvpd/LhlYpkdNEK8MO0zHesCrW2fSEZb4/bsbxYID399x/s1+XNj2eAEaJLdCwjIUwtv74csWXT
0g2WogP6bEH99r2HODnN5b+9xv8tWliZ/H2vcSybty59Kf6i1+DrfvYaFg0FCxbIwz8mLHwOf/Ya
lvcbUXGWz2HwPYv3w4KGBgX2kEnxzxd+T574fUGD89ciFwkEFl0CcuN/ZCjCoPTLI8miB2Sea9uo
621GMHCgf31G/KTtqslo56vJaYgBZVMOZLjxoRi/m8uCwxWzjDlwuzsYEpZD7eU5HtVoyjjBPJHf
RTYywQDf/qGzRn9eOZ79GptoGuswegGZfE9uXXkmo49V/OLZO8e1Yupdk+Wh570nDcDzvITMZlV9
ukP9TXZOT64qLl6fuDnLvVyQ6h2Nqhgo95HJz+vJwzSUZTE5ByALuU3CS6wb+QkvfLXpGzXvgDQ3
qwHL6aoosbxCP8aMgnHqWozzRe6ml0E9RKcyLXKkGyyWWD/Y7PttiGGwdufdFPqI6weu4ZYab22R
joG0ghuxDSR0XGE8F5zejTdVF34iH3CImhQ7SESRojbrmH38dZd5r6riom/JwtjXbva+ZNkX9KY4
pcVolUcVEWbUiGz+hMw62jCfvorJLjrKJHsb4sV+puzFgoIpajd6Rbvx+wKABNMD0oHCKjwBpLC2
njKNC9FM5qWbVsM+hYy8ijvpXXa+fxuQ8HpPJ3RUyfxgNATE1QLYnxkgQvHQy0NzJo0IZRzlKV0c
0gmtZFbMqBBwXVoJuhx/7hL3eWxivD6mA/Awmq1hH5ffc98XVhTdTcLfbrSxf13NFjU7yW4WW5p1
xnfCcRyiEWiCsMXwxOTEPcIVtB8MWxZs3Md8uejGKrxJAVe02I0DNLkhv4ToJkSeizw2D99HK8wv
bZxKVlwu9xDaWAx8/9D+a4Z0GGv8/el1//LavZSslv/CEKm/8uf5ZVu/mdQr/u/L4v+cX/wT2kmm
tz/XyL/PShyScxyIT0wy+A9iSW6e/yyYf+S7kV/KmoLZ8z+ZHtt/Jn/CgfP1u4MLBYz+j/hY+r2K
TIdJ3Uxsh9dCps0OGUS21a1P6U/DjrBJ1MS4wsZnlZWnhoXd3uOQI/khTdfRDFQDl6J1F8feFks7
ESVzRYAV9sWTOSwvbmQv16Ec3lDa9Vs/y/WoMLp3pOFdVSOJ3DMUql2Dse+aamybxcnjgG9RIUvf
pWFwUYJuEp31nk/zo0pInxE5C8tuA3v4EOJeJGCiZJNbOs0mKzgal9kpNpMpes4R8miYl79lvvik
PONLPhpvqAU5C/BOrCc1Y7esy29tCVg8Nw0Q26PEoIbcR+kzegy9r3MCcw2as7UuiL3BBzKkGwiI
j0lZ39pevPVqNNX+zMyklcNI1b2XMUDto9c4d23vXTFwf1s4xebq7FmNwi2QXxMjvaNzfCoxDUR2
9JpU7sNIFtjKzN7nmCC+tLBvg26eV4FEdD3GPY7xwSYaYyALrEiK3TQUE1JG6F2dh/sAv9eG+Yo4
9IEJyqagRTcr8HpLTVB8mcLB6qMs3BoDAXxiiA85kO9VaTh7SYbNnQs4fTPZIK2ymT7QSmGzu7Xh
XNGqpSzFFY083p8LMAwM0qZiJYza3MupP0K4TkGzsy1FaeYeJG1g/ljFGjRja+ZM1mv8TPEdRVMQ
uTw5HmoekHfbCmANU6PDBMAmGTQQ/3uuxfA946Jzl/RbWdTECYQW2tJUWNHO7bkxfJPI934JJWkb
c7VrhALBvNjpJ0ADjx3QMHT24Zc8ZWnhjvhFlMjsjdFI1sVz8BBWMLFKl2lyJPcFBiVuXOuTISNr
I/GLbacI6eyoyHklMruldbWrm157a0x+lw5LgCmZ6weeAEAXwmcd3hbTuZpRWAVSNQxfxq89qoOT
z9YUKFDyRkjghIuEpW8aWtcG2bagOSSDcAN3iR8O8tDJqDvYnVfct15b3Iy1Xz3k9jxsGtBaQBWa
hzpALjx4wMLkMmCmdQ+TxwJeArZC8Sjx3NfzjRrCaA1iEQ1TXodbN7XVaaAK2s2sSS+GGUF91Kzb
RD0y+2DGQseJ77PJNrHA2WBPwjgaRgggNkPSUBGFvUmDoSL+rs5fc8ftD4VUKAQA0uYqmQ4jVIVt
N4QLS1KwCNjTWLkqx4ouk9gJroJxvu49n5SFwgBzXuP/xFzd7SYzmDYD3pIrI0AU3VMqweCdlu2/
99H3yb1Nafn399EVWv4/V9L6a37eRJb/W+DYHPQo8+lq9LLy90o6/A2BGjeAa3l0iS6N0M89JjeR
5WipkxCAb74b+n/eRP73yjzAUY9zny/z/slNhKjqD5U0u4EAG4HFHsBj/+f/YaTeLygupCu969ip
lsuWrO2GxXiQtGJjTPG4LORXSdxOBnrrAotp5NdXBFKBNpEsD1fJ4JrFVSBTs8QjHfMa+NJgUYst
ileyj7dkX2CMcxblcnqqIZMxBvzSaDaLGTOHRoBuhM2x57JhlDsS7YBUGi6Wnxh1vPNdJjdyqp5s
U6ZrOI6HofIxg/XcCq0OtuhStAAyNvpdJM2HrLKvusortsA9N9Fs3lUzGivLYkpODv2pqctT1UaX
lpoe5x4ZB9EUEQFFGM6aI0mqgG9i5BWpl6UYnPCuF5NP4mbAFg/zNDqOibWkH55xI0r4bw5+9J65
KMoOWCUU21g8L7jHvtk6EzmV4+dhch04dwVFu+lumPeckcLOO+WN8MskB2o0tgOpKsu0yQevQMaE
UHZ2OxeNiL01XTlvCGFqyfkcvxliIviBzFGpMY9lZH2bOCnW0u13GbC11GU8Sdl8mQVsOLUOSbpc
t1mrLnuZSxBxBB0vtXNvCGjBvrQxlUZEsOJXjLqoOQoE+MRt1NeZXd+1rVpHfnNKkXAmzDHwBNDG
+C2pYcVXQbIXqLZxg4Z8NRY5gFYWjlTbFyIqt10DkA9PKYqYYcpWXVHnZKb4uNIchsEG81CQc9kl
gi3s6/GTrKpszemZ7gHlpSCQ4/Pk418VCI+tdrgY5Yh9wOye4prZw5K7p3m27od42noTQekZoSN5
ld3F1XiZuthW/RSbJZiabeTOxaoRiMW7PErW5hSeTbf2t0HrvNWF1R+sBqCsW9XXrkUPkjDqq5z8
k+96j2XW4gNpb4yEdBw/RDsuSJxjWJntsqJ8xPULJBtdjuk8m42sN9gWucCK+yl3j1XcQs2MEvZD
QeKu5z4bedDt5NQ0HXq0kETeRKmnCkcNYaTD0xSpR0v0D6Kn7Ys7LMpJeMMNzigTTp07fJ2wVoJv
UIqFUE4/l1ubOsBT6QzyHuNzvqozC+TZHB/jXsTs1vFSeozng/hL66I0m1KEh2GWtmjFCGYRpvw0
prjnrFykm9pLLkA8Xph++AKmBypQ3NqgZ6x7iq9d2okH3Jp7w6nPykzVakqde0H7vwnYpK3ACGCc
F1ep3xhrJ093U1o8oe2r9gjkXsp4mQ5I6XDUsZoh4DSEYpNXG8Li6x14yueswgJDvA1BOxOJQqGJ
aoB52p7ow+4y9WCaKmyYkV2IrfYzgSLF6NrPN5Yl3jpGUqu6a68b3yfsLkou0DmzybOmNxiJd5lI
YRUxC8DkjG+/X+Z3NdI6jiOYQKIbBVwJ4uqbHkt+4asaqK+896KcR8d0MKlYRs0DkM7rdq7dNZKM
Aw6JFy8ZKhp8TazywivtybcM8ZYPk7OpJ/hOwHd4oAZ/txjme6egA9XpAR/Sc+UT8OslLaZUaBbN
ZJ30pnIXTAahRtK7E+QdH+OBsMYl0+m1dnZl5VhZlmQ/D9mJTKvbjECjssiOydDeR0n7Pkxhv6lU
dznX0Y1nNA9NQE3uzKwczCT2TiHnImcjAe9jwWiilmqf5fVTVWNW8BUeWAzcK5cIqK2KoaOko3oM
e8iKssZkPFYN3zzNoa4MDh/HaZdLaa7KwAG/Ndnljgj5J1u9qW6m13bRdFcwDRKvfJ405MCCdlBo
7AGm08fvci4HIoIt3LdEIxLm3Ic3ATXB7GtS2MSXBZrCaPEwNPAVGg1aUEBONq6GL1gaw9CW/nnE
3I2oC6dprAwUYOO1C7uBH3VDxucNgUdixx42WMca9LAU/qXP5b5JQAVKDYNAzjUdheZDNNHnxA+X
fQc5omTQDKsQmISlsRKM3D85GjThaeSEmroR7te/VdIPfcN/7dqP1ON/rpK0gOH3KsmFDIisAX/i
z3rn9yqJWigkIdcJ+PD9oK3/rJJ0KYQ4jKICvTBdObXVzyrJhamOSiCguYbk/I/VXr/G0QB0BxmG
kUCrvRhKu84fRuBOUjRWPPrDdZl7oOvqIsVxUbIBvp3tccEznoZJtHhbkYxmAn1yzNXWxcFmQaOk
aVJrMadOcWqDtJ1voAC7+KzpX/RVb01eK1mKFYmzJ28NVNJKiCIl1tmIspFOKgrrik+JJ8XZlzLs
qo1vNqM4IcFV/bS2jDbrX/xl6KjVBjC5PV7yHw8valOMaX0TXiWtmRzjqfNWrVLiU1vDFgxAebZ8
PAgbzTMEAa0aTynuwx3UoeraL3J5R5K2+mqSWNAAW07ir6PoJk5hs9QndM0Cuo6uMwOjGuDdBDqO
RTRPoJz51vLt6AjfQF3hqVLXFpzRDWXGe61gJ+Gct7uXIEXoVAwY69cJeIZjgv7yAQE2Rnx689dg
KcL9mBSKvT1pdTBS94UhnLtgMYvtpBFEhQTKCCADDZeLcwbysok3DiY151XW70Rj4QcHZGchZYaa
xJ9pOLSYpei2taWLHFb7i7M0oNUWDt5Vbkv7a85m9yTbPj7OCK4+04U5pGjYYDIa1o1LUMobKfNX
fqXVkVrZurf6lNiUzDSJElYwRFy/Tq5nQuM38eym127a9/swLDocomFwjY3MPZQtNU84A2BLkI69
4r8vLoGz9o+yhP/YY/0B+53a6GWtAiZQgkZ2DiMuhqn1blnjY2Tiaj87KcMXLPH1ifYXNl2fXzBg
oX4MjGDXuvP0rkRSHIKmjC+mOhW8t8w3ruhNTfIDe7JR6hlEzzAweG3noNo3MdgeAH0LY6eOvcti
h9FF0RneI2KEJ6jf9qVtBM0Nbz/aGXkprvraht7RdeYNlxWRayS0H+MUIAOTk4wleTPfJV2gNmOv
qB1TiYp2XKJdD5o83vx7sn4/WbUB5u/7z3uAnC//b128/GUU0oeFDlNPm8UM9av7czXz84DFa47P
mpEmOxUttWW/++GApTl04MZhKWd4wLH384D1fgMw5JCcxBKGEaH9jwaiJJb/qQ1leBmSX4lvnVf7
o3zMt2ILXbdb39gk5+neAdK1muftNFUls5LYYvWQ7wpnPhKCiDIorJLnMvQvUNXugnDYE0Rx7cv2
mLkGatNoa4pyRnXg15dF6tc3eG0eZ1N8DkJYL0Gvp3zGsB3n/MHrIlisQIcBiAMtrzP/dooduj3M
cogki8Az603gKpMcQvManOe4YQQzIpxMQFO4AJIrc0B9boXbJev4lMbgtkiCWCJYYCE9x0F6quQU
F9cTgeCreYYwTbSsu0l0mziO5ic0ATQR81bZQ78ZSBjUc9xuxeXw6vFzohPm+7YhSG45MjA0J6Wj
LbLXkEntdo6o8tC/a15ocgQeFh2LhrQLtG7bGjHtHgBMcXJdQ11GaQKbeSQNRHTZp7TlsEZdZAGg
zW74xK7hLqUrtfCR9uRDl7beGmHWJzr6m6bVh6ijLsVE+rLTRhLHPo6iymCHroTZrkM9Oc1bedU0
GXfLXBe7ZTS0hvTCrWx6qvEuzEi0imCmrBZlHXwHY/icp99Gy7mKq+V6sYnZRGblrGTW4TPCCilr
jc1sLmUSYHM07XAd08oayzSsaxZ0oDdxXjSgyzeF7WHS9G7zCE+PQ123sZd42yID2Smjfm1ttlC2
2V/bDhqr1tjXXGFlmd5YhTw5DvCCUvSnduSZiWR/blNvWAU5vxpELnIrsL/0JAD1GdzB1rnyXSJD
B+TT6xaOxiG3qk3eGPsuM875VPdXS44EyaUEX0Onv7M9+ypsCkQ48zitRSn8tQ0/YeVwpREyijAw
y02fTOVo28f9wwTqdIeo6ioW0Ze5HYGFGMGe/ZK3cQfzUbTtl8xp/Y1VoCNuB0xFaXwbK+vSmsrN
Ek/XbR9+6zzVbMqx53fYe8e4xZO5eO7lIPubtEZgc1vXfrG8zVORH3yob2HePOZ6AcYleYKUJa4q
mTcX2RA+17l5N7jdt6CZ1x1mmGaJd3HlbZpeXYQDCVymfaqL5Dqt64sp66+rujiPVZ5vQPoy8I2k
OnqR+754hsxIp3QwkcjIx9pUjcu97S1XcdtR6COF3DFnZUTkeLwu6uOi2ytgq9vZTw5qcc6d+9wb
rBpKGX6qQpwZWXzqbGYF5eCyLHRWMVc53txDNNKrzq685bBD+DhsbHimK0YnPH1tdHb6AQMeoYV5
MJxqmd5hKtQLlfulwfridfhqEmK5V3YHu0IgTN+HsUXS5cwm1cm9fRGn9NkFoyvbTsAJfA+ElTw5
VUM2QsWgbYUE6Ux799kX1Xvdmd8wieX0kcUj7rRLlHgsdlo4OK62vZldhAkua74G0oBGkydX6RRw
TJjmGaABHwbgYzeE7bw5C3JKc1Fvstfoem+6I7SrOTrV+MWqy10rzM9z6l8FRbsLtVARrSurTNGL
/cTMrZrI02C/smuCeQ+8bWM23TlMi5PpZbulJ5XMbanlfDYtlHYHxlTa8ut+CmRERCxyRycUD5bp
2nsYhj1+eKvZNlM2bVvDvpr4GJwx8t25c3+gFybRvRjpDQsbhD+mJDRLNpWRLgERfA15T1xY2r4k
LTrXYabUgGyxJUnjPQ5f08a/6wfnLud3wj0AAzKuqFKK4MxOamdCa+MI04LACKH/uKh0DeV9T16Z
j5mhAOI2gPvl2wUB4eauG18UbnydZMhfPZmOJ2FY5NbB4zm49nQ3VcXGKgEz0quzjwiw9k90kTLo
4uME0igyNnngnJIw8DTO8YvZL+mR4xgkpmBnjWveSNp7O4323jKjpUw8uZ1Y/eiF8GtOYvHa6J19
58K7HNuWVTlWI9tu7qU7XSImyFgftHuJlNbNm2tVA1doLIVYeLoz53pLeMO8cz3/VLcokS1DPSTL
LHdK2m95yEajZ10OTxPCSYF0+d966kenylL37+upq5dvb39VSunYnt971ZDdMlwbgZg+1Ebh/0z0
bfM3dCn0sEiXbNv2Pkz0fVIlfYIoUcgEpNToLMr/lFKEw5pBwBc4+NX/mXlZeHynD3ItVxdr7Ja/
h80iPwv0m/go1wIjPvd8cOKbKCx3vibSDT0yigJIHfHOTw3QumYi924BY6d3svuqJPqulgcT0J3Q
xDsVuvQmCjWMX5wmJDGrJcyQgY8mDALjttLkvEEz9AJgeiTm4HJJw3BLFt6rJVlwDYG8HkDHj9b4
7IHks5jeuJrRl8bJFy8sNsao4sfOluahAugXlypa+xEbUN52vZNg/2rN/4st+5lPHZnXmg3Ya0qg
MjzBIjZ6J6L4zSlcqFyaKRjUFB0lmME6TyjfqpcF/CC8b1TRmkhYu+myzYEUuppWKHXOXgMdkw9Q
/TUAaZiANiwZAnBb8CNKzT3sG+tsAELMCuK9ASNmmpCYdQR096l9drPsbFbOtErTYmA8D1mx0IxF
YjYhwvTqFcQfza0l01WeBJRCiUuQmZk9jOAaIe1Ro5gog3qHSRUi9vseuGNZWrcMejuGzABTDQCQ
CSDIZJjYWyQmY7sEvwOwyNhqslVcY6MkcIxBpXQZrqc909PEXD5BF+YQq13WM4Of4VyGR4lEKNuR
7fHN0KzKeEyoayoTO6smWTrQ4rcNcEtPQy5F0OCmjKLbWRMwE+Ttuzk2oWIWJRJVTcqsNDOz9iih
tPw59Xc1UM3ZbGDrxQ7SpSZhQBj7MNyAcOIYao/kTmouJymXcYvm24fZWcTl6xAmQEI1z5O+vtwW
mvE5AftkInv04q65QtMNEk4TQRlI7DLNCIV0sk0ji8pd80Ntu73LI0RPvj1Om0xTRgPpu9emJo92
AMjXsVxeZWdSJPbkz0tNKs00s1RqemmawTFd5uAKf3S4CSbvDbk0ZRpb40px9zsDj7IrsmkTj8Q6
NPEcMGzx7iuwqaPmp6ZkGq36wC8OAxv6dR8rAt7hrUaAV6ljq5UqydDD4o/tWfNZW0CtkYnfvBWF
OGA7ew4z+6sJ1NXXdFd7YkfLZozfM+sWAQJ2SdqvRCTpma1PyVf1oXfL5mQQF9biWOBWeHjT7aTn
sI4ChJs8TdB/dnYe1GtyYU0YBdNu1lNcX5XPSs91o4BaMNKzXkYEj5Oe/np6DjylBpMbJsO1nhGD
ocHjxdRYMT5mRo90Tk+ULT1bZnbdrlo9b4aa97AwgAamfCn1RFrW1XvKiNp2kmNlB6cxQAvGCHth
lG0z0k6M5MrUM+56zmK2KhLScSfuzNobUYAwEwd7cwr0lByB3xGfA3PznDcexgdQOyeTwbrHgB3W
lz6axLaOyvkCrv+LbSImIbqWZIxpYGU3j95FugzM2OMJsjdlzfDEamasd1PSIM+AjlrfO0r2j/U0
qecpsuH4eWY/dgcoNO6XOK/di6FvivhMzlMcHIfWEF+i2LOjq4xE930Z5sNGhtGTlQhv607kmiIg
K1g7CegmNZRBleFvVjx3W7eZIJt25rMU8rAgG4Ts4h0SEmDRsOA7VmkMrLeObgOILVMF+gpN7bKG
OnEuvDj/JJFjbssm5XjKCxtLd/Yed/5tR2N6MBRBV2nfHHAeFWuf2skJh2/lPD62LthDPsX7IOoe
EW8gZDSXcyjSk8xnd9005gsgKNYoFRBwyOiWsor1MES9rm1TnrXoZs5Nez0POKwMNLmrii4jP1Ya
fdk71Ytfj8nWscFi+vAx0zz7asPLrLOJnZW9q9q5If7W3UcCtGasIZs+tE1zuiSyY1PmhwBmQLXQ
DBB8MQY3sQZ1jhA7PcidaJmPkUZ5+jA9LbgB+HeYKhFbi72/VMR/gQBNNAy001jQSgNCASwTQWyn
20HDQ2coos5oWutS1YR6eO1dmrnhpuj8y6hpz7WGkDIJTXDNGA9tYl8LDSp1Y/C8XYcrCIZp7tXQ
cNprA5rkuja9pywYXzONPVVTcVIahDpOwynCneRCSIW2eDO7IFNt2KmNhqjKrEFLZUJxDUBFg1mF
xRqvPaMGuQMEpGKAtya5jPgiilAIrawa2RbDbPXGsNspjXF1aFEyDXaFdsFadZ52iBcvhIa/ypSW
P4UHi1mO8xnMRj7CCjPSe4zCLy30WLvl/2FDHQHL5g5/ahN/baeZsz7w2dKK37IwPLhAaWuDf43A
1A4jwEqwtaX9LwrnJ9aG8urv68nLl75/+wunO6qNj/VkiKzCc2zHFtr/8KGetH5jxsZwDTE1xEef
jcn/jebwdcLOYaSNfAQJyfds85/1ZPgbykIUJew/TOLk/tlo7rsM5dd60mW8J1wX9I5ArRjy/j7W
k6MMJ4OgWHUzK6f3t8kYESoN/BlM1pwmgGQ1iS6Pne2cjcCvLGlh4bZMkruPzZKaq2kk5eiyxx+z
bLPJHijFVFPVhANWjue+Tmimdd3QRct2iLsUWOzUobey4vA9NEtruJ/7HkMjCjARoepYFj7HTa28
bsWGxFi2rRfbCxmSueKDstR4Ila+JKxoW9ps1LdMNnGwa/Qu0/Lc2kszJ1CvG2PhfiosGHg7H55G
altIPypPDIeGMukwObPM3pUTTLs4Y+ewjeMMhwWxnWzwwXpfGFFQfE0xv29CzkVjNTfzuDUKNixj
yfo5TJCOm6XB1pk53tfRZe2xLCXGJ8QxCRSSWOzdOXn3lMG8oAreQfqIFUvgcus3/FtjZFjWRwn7
FTHgKYkhOweaHhKnXCDIyimbOoPUWt/PwZEMOSELaJNXHZckwHjmJNacmoegE8g0I6CuVqCXCUsd
XzSdUZyFljAUUOb2QVO95f7i7p3CibfY38W+r4d0a/bEhlLJkTnhyuKcm5gR25AbuxntFQhOtQ0M
4iTjwHlLQNEeiOXlsWDfjOVccNDUsb8yPeMrwVXxwVsKuQYjE+yTrnv3VRSB0oUF5DMYpKrvCMgr
Btvf13XZX4SumW1sI8kYZoBuj2uvRgI3rlOZwSL3XdgmvppvwzCC3xXW5bbX6Zm1KsGVdyJYKQle
sVo63mbgfC4qFBxxS8HRdQLSqKLipK8hka+hkJHYqZg+ee0t/kdE5LEabv20G1G0Wi3e3RlvImsO
SngznLb9yG3Si6nZTpYvgVKTshdNVX4gWwmfVpSVh3/b8B9rjf9qiP+x1li9dF//erHxwRVPGDeq
NQEFBCIt/S76td8XG+ZvHJkmKwq0d8LSm5Sfiw33NxxmdO+Bp4PlftHXYWLxbKTUjoOfA73eP3Kq
sIH+9ewMyaxjBS0Q9OB7cf6grnMSpjbDXIrrpPyy9NfT9PzhNjn/2cz2F4uTEJEgZF8mBzbROr6e
BnwwZ8moF0PkTvJaLu6W2dL73IjrIkJh3A3vA6KjDgzFphTIluEHHklpO3RttpU+y1HP8Op9rZx9
5XcHo0dAJ5Mda7tvRmExLw8vpYu6FWepWi1JcWONlpuTKze0GITLno+CLiBjfolrN0HPvXMQafUr
ZbpHyIHRu3JNlphl4pExl/obQY7lt9YuYIEhA96KHvdKZ8bG54xhKiNo8SqTqdwN0B/XgiS5E7yx
7wm7N9S1BpuY7nPYcc1Yts4RFUKdswnfh2PXw84CDLCau+o0dumX3LYvXdtmw1vOlyomvKao6gMp
cAsDyPYhcos96OCrAN0sZ3L1xTAVa3gxvZe5cYO0hmk/BfhOigAQ5HDvZ1C6TSatLSpn0zhUjbwY
MNyDe5tvpzy4yBZ4V/HSbTiGLyCfvkTWqFa034cYyJPM05ehjwgy9cUKYtMBg8uNsfDlFfDByH7u
8/gCFDp7YfdSVK276ezxqnCWjQe8sWtgzs0MN2sBfJeehg6iOHdRzfZjSU5DSlYCFE6MjNmFMMTD
UFjcBwvcK2cR9yl6lnXST8lWBulxxt7MEhgvc5R5e+zqCD2JApICXpxJXJlJNhqGnHGXQKXDg7cO
xfgkaodsEPfa63EjD8tNnoq7pESUJqNy74vxChLTsZ4V6oIMkj19WBmqA0nIl4ld3HuMpldDVjwh
QH60Iv/Ji+Su7ryLYHF3xtR94cLl6h6gyzr9c80PT9s+7Y15+ZYXvp79r7vI3Tj5dNkoJHGyjYHm
zuwEhwAsjPCjVez5X/gUMCDInuOIbISpH7L/z96ZLNdtbVv2V/IHcAPYqJsJ4NQVa1LqICiKQl3X
+PockO1ritYj88br3o7DDpnC4QGw915rzTnmWuo6Hpvqx1TEW2vJTVLLr0sNJknybUPZ5SR+7PWj
7cp6+m1O/Osko20bTsExiesE4REFoSaZdFwJJyRgw6XrH7OhZ99sJWNnZp9cWRACoEpBVIhQSiJ5
hxSvG7exrT11ZROQY8zcDk42b0883MpKfJA6KhVRDXSmSSBemGs3owXsrENYeSAlDsaboTYrO6WN
JMiyh4SMMLcVxipCmCjT8IHD4FvfahvbQ0jRQA1S0tf2srr3Cc+aJB8WUdRH57GOGOuXhgwwt+tg
DpQwtSXGMjHAGI841hr9hCSv2hlXQt76yU2BawbkeycfSgNxSjhBZa3qA/ncl1Irm13eIaNVVBAU
iqiaLb7NeBVE3ZGDGgVhUuYbhUOEP84MQseFwqyl5apoq4JtOEovZiqnyZKxdc1cMHB9v3zR5+mh
9tVnM6m2rG+nmBrMtekwoq+Ujn4iZAR8ik4+rT66LSSuW/paINwUcp0euyS/GXo4RnRVLxqh3aws
bh1rHiKiDhZafqBlwoJI5oBiDtd5B1iipGnGGrUPgAykoJXA57nl3B7TWGKsQW8ilR+TmlkHDJPB
JnA2H5OvWuzrThMtbT5Q4Eorkz2kRea3cpCEO8/VErRVDdldomTDGpP4RkV8D5ucOUJozQlskag+
zVZyVkW5TezmWoHn66ZN44wZOb4Ioz2WvJ1Q/A6Jm1Hv0qm/XzR9+AvdDnVzCs61C1fTQDINa063
H2Sj+JovKAm6Nj+YsxHi2TE153J4A0j0uTDyrcESJ6CC0e30m5xp+IalP3z0K66Ak+0uJz8UaQtk
126q4z3TNCwyOiNfU7V2HbMLRyvMO2h50Me1mHCqTMBtmDQfV0hS3Rn+dGfl+vw0+zlhSx3Mcb0L
FMccxnWLBGVTygQ1FFNFJ4ofdOpe757qKLXWozVFBN1EAyMqLWzJcMi5xQMGKCurwS8XX4y+JMsT
QakJYLcpLvJk7pNqupcxSPVgjxBnhvddKu6srrIP4zT2VLBx7RV+OrllFw/MiuUvmFIIfxq16qkz
yEFD/E15HPKgoxFmHOirT2LJL/aFPq6ZvdlgDeTpD1fE/68NHLMrJwzyYVTb1CnBDaQVbzdnkWWU
dUGcn1silTBd7HRjuB7qZv3xKUD8aoe1/rwOnjYdJRyv/ftDQGvOSI7C/Jyl6akxxD2r0pWVZV9Z
Lmv4JTY3YEq3/ViuUyvZNiIkEkvgHc0PrFRHnajT2E6uQ7+7MSp5pYadC/qZjo//WnRGD3ATkdhs
nQ05eP74o//2kzOrMBUgapSzVLhvvyE964qotZP8PKB/DaY7OQZZXxw/vsjPEvWNg12zl7ACFcsE
/AImI+a7+4ACHkpOAmexDOiiM0PYqdSJjuzDnaBohWIm9U9wEYvr3OYZpGkzWAOmgYnkWV+liRln
gAjm7hqeqX2bsyt1BTkfMsAerUBArAsS+fQiOEdwQUefKd8geG+MbCADzdbnxe71nJDApTA93szY
evxGMVYhGJhV0qovUi3W+liTQahWJJtotuIWlbqJyatHUEK/fwqNXTWLV/TVzyPawW7JORzN9DQx
mwXIMklMb4b4JIclgMaRbl+gMMoN7RilQBQ8+J2S3VWDzv6hMILOSn3dGGW7JWBn1RdsccoiTYlJ
SEdmccF/nXvjDI8HoPvRl587bd3BFmNd/GJJGOtMBBxTrMEUr8NVXuaoZyjHVer+WePoMfKaeVBq
Cm+Usm3dZoTKKOO+k/vnJBLhCyPzjWxUGZHg4UkUM2ySplpHakOPnqlsZhgp5kW6fsY8HiqzOX38
OCi/fR54IS0eB0tWbDokvzx1vioVOX/WnvEzPquMy7257NOzIcH5YD39yqAWLRCGbcUgtCxKCexT
0xPfCjSaMDG3ImhOJPgilhEnvbCeVC0P102mVwyvZEpkXXQU6kj6SfGBa19o2VawqXvE8lWeVUuc
R1iI5KzIXYwbt0GGw04Jm4LdoGsoTJf4GPLnsvmlLoxnG3MRs7TCdOtM3Bti4uwM514FPmWg5nBr
tNCMroyn2DKQSYnvCJgXXg/LAEBZIx/vfDs+mvBrKwwgBnE1MwCYbhK3et+fkji8RZZ4g7NlY0zt
k0Wsj8O5UV6hS+UsWPXU11Tf1tLCUGPJk32S1RRDepZ4JtzSVr8oqvSkhIRiV+2srkKTBONZIkZ5
LKAW1RtZjnc2/VtRmA67kaclrexa1nAwwQYOCohjBRlRl7Z36lCebaTaTTE9qwOAUrV+zk0a7BOf
ExM7utoLabNHMzfWA8kKoRkxhsH4KuzoGg1OspuseVU008pImaiVHGgKI6Au4WXsJft6qNof5H0s
jffFdRvjRACkgzPfE+SiKYpxNJjXR2rFXcK6vYKmgryJE2rShUdJIW9SGR6ZkCyjsCs91Ah7LBi3
SIeMXRyI7NZSUoznzZr2TG7vNGIUF9pR6g/rlu2dhOASeEwVe2kibZABH2ZCBkwbStWgBAPGKRbd
GVJ7rFiOPlhXZDZtg7w9BEN1zBeXb9um0iUth3I7peZeC4ZDSYYm8XVETaplpLiDDHuqHE5SQ5WQ
QjVWs1XRmbnrD1eGvjKZrQzWGXaZARJY26LEeSxlRj+ZfDJofWPH1I5xOIC78X3/gPHLdBtdwTgZ
+/lm6Gev5NywLSaUapNhbuueU4hJyINj0nMhUVP5ZGtb3sT3K/ebN1VddINvylsR2lNsl0l3Ntj3
++ZEFKA7oi3xh0tSnxQqlo/XhndUlZ87xdvrvdtJRRjmVBesDEXxStpzP95A7MyDJ3y+H1+Iqf4/
fzMDsYAwiecl6mfZGd/8ZkPT9lUs9yNJ0hN9t2hsltS2O50M711YMAZMxh7bEA1UAFDKyVoI2EZc
4EmNaUcO/L1uo0g/sLNfj7lqOb3aPUhRcSlk8zbl+EbVA5NNLLlRI6kqwTpro685xB4JMftN0DGj
0sOw3cCiOujQOjlYrCaFjHGOeBuSRMxHW9i35cxwQtX3ndruIlUc5mDa6aV9GRLUV2zbDHUOiUAo
1UmLy8cdS+UxK+tVlPq7oVSgn8Oja/WMiTxTp3QIvlSjXT+KYEk6adTgk2/1134LByE2+rdfKm32
t19qYmh5VGP2OFvj13D+Nln7j+/aZ3//u41DllLOyEEynSPrlox3p1LvP77AP85Dv/4CP8Udb56K
zMgSORHBdNbFFRZsh69JDqc/xD3/47F0+Rbev1TIESzkJoaiW8a7R280G8QEGr+FjdurfWmHjDPJ
fTSan9wN8eszjhQFTiVSFGWBvnA0XSIA3t6OiaH9EMylOHOMeWFT8+7Ste9Jq96J3Ecndx53htsf
v91Ebvgwrp7T1fSNN7rZqruPv9WfeVTvf+M3r/XPD/rma7X7yEbAzzLSrntPduXVeNttQE6v7RXg
03qtbPie10hhHdkJV0Tb9CvtnL98/Cn0pdv3/lO8fTrfuUhIOkktgU/s/DTuxAou+tq+Mp1Lozmh
t3nU3aPhZRv7HK7HbX6rb+9I/NyMW9Y9Z97ABmd678BF8KRjt803zSVEqOgE3kPhdGfSmTb6zt4V
B5A299n69uOPvtiUP/zo707QkmiitJQinkuncMp181quyzvFA5ni+R7g+1W+zvbF5urluOp2BGeO
brzHeLiPz6DcXZ85vvPddx8+/lTiV9X4P153493uALOtr5k+T+dwZzuhO2+zjX+XY3B3CacxHN8B
2e+kG+tcbcVXGmmrj6//+5f17/fo3WrDUiPhI57GszwXK3MYDrOUEJgLi/Pj6yyryj+fm7+v827V
sSJL7fs5nc6cqZ1+eJHH7QAlQ11VMgFQ5frjq/3+Vv/7au+LSYk4bFWv4u4cMlqa/JsyuP7fXeBd
zaeOVmoYhBKesfOKmD6gbXofX+GTG2MuL+Kb113KSis3J160AipjlqxL8TR31id35bPv6d3i1igp
7l4zbuEuc1dQe9hj7P7vfo93D1hXzE2XN9l0HpCORwbuM9AW2dXHF/nk6TLfrUqGH0gTzTl2g9Eg
mQL3WtpeVLVzTWQ28SDOPcrpjy/52/uzGFEYA6vEvby7JAJJlcS/tjtr5PXi11JDmnybj6/x29vz
5hrvXhrSORqpCrXxrMcYkOXrLPukq/DZBd4tiSh5RniyVX+WWbRpRidq+snX9HN//OjFf/cchxFD
Hz/lOaY2cCo32Pfb5ESJ4O4xj62CC77BT6KTABl9vNYsv/WbV0eh/4dvMWSPeqIxnLOqIlt2GNY/
K8d51ztXM8Zptm59hXrPsa4l56ZdLbv61ZfqSt1TtYdOvJpaZ5u74eazj/fbjfzt0eX9kxPVg6z4
vHTKZdnIJafZpNouV1wn2WjeY+7sUb0dfsjfKM7q++kAvfeT1Ussy9NHN+XdfSfwDzO3PXGW8NAP
enAJhOHYh9S7sc/GEb6P9wXjupPTsV3XG9j8rvTJCv3ZRzDf7XtgZCUtH8r2LB0KZ/TobMbfid3w
zEP3Om7LVXY0N6gzfwRfVHfcJJfAi18/frt+Fl4ffAvvSZ1Jr2KZyXk0QcysoUM40XKq2yXuXb8b
dzsC3535jCTrUV6j91qXG/OKeGKvW4W7wQm/pp+slOpSmP3j8/z9uuvvvhJLIoKeUrk7VyttY2yg
aYzreT0fo4PivAQ7f5241q7c0tQ7jq55vyLTmlvUbpL1beQth4Q/Dwf/JbQpvHMfKJ6K5v/83zx4
TV+b31i++dF/y+hNLN86hm8ETn+O4P8a3CvWv2xE9DpTfQPxk8Ib+NfgXvsXdDb6uDAfMIQvQV//
ltELfOIWRBxdFwz2Yer8J2CcX3coGpyKJcs6cgJE+8iv5Hebe2yRHjvkdnzustWsm7T9Nlr1+OaL
ufrj4XxLooWS+8tD+8dVQFgy3KIPgPL/3WpW+ThV9FmPz20RRylkDzlHkkiAhuurIlnFalO7xSSU
oxlYuduVYeyms3/oici6kcvwOo2sjdDD6DjIMvleiqS7itVBwlYiipyAV01ku67HU9Tb27JTjviH
rptJnKq5OIy1eonqYC/HZOdmPWkSgGRsHAMog/yOLmEk7O/KCAMcES5/2JLqS/jDD1xahLLmBkd6
mF42lkJ+fgTj40wjytb9IM0cw4fR9FoJgXRs04wYuxnBV9LmgDmF9uAzMNmYqa5+FZlEQx47xSaS
k5CWeFeV8HumKqHPpoBVthLCSAK79OMdw8fWpM/BHGJqJuJ4OhRHo2GFodOqpWo9zKIyAOqLdFNL
+N02SjGAoHZLBeFI5XZ61k4+9kksolYlpBN/f4mcHyfYwuUuFq0siUAe6cA1+i2RerVpRVsiTZN9
h/fauuJ6jfpVnwKzOYipQMgaTOpNYdb6eBUq+JWqYLKBbxjmHnZ78EU2FO2xN0MyWNMJDmSbo3i2
cNzXTC2XWF0LMR1WzaGx74sC15eRa+VKooXsiXIMGavRrqsCWi690Hta4p25avnOjwB2mueGMLhx
ItZ7Gi3yTatoJwFRX3HmihwEt8PN3JPLJE/pyi4U+wY/usIoPow8a7JhGJQZnIBE8/qCfaOKHkl1
7Y/cut4zKuwSuN+E1yCUIZVujPbGzAjSJNZqQwtScXMbP2vDDInZUNVsDLXfDhrpqeEommsGFgri
sOwU5emprxtKwzq61gp9Z4Ud9aKRbosoT7xAla8ae7hl/NnfB/1o/SC9gPy6xDOG0fhRRJ2nk8aa
+JVyJ0vdGrE6M/UiWdkSHgOLmdVoBQ5zjO9N075Sjb1O8fRQ0aKu1X5Psu+aBQRq67zRRvk0WT0A
nnar6OI4A+cP6v4biCVi5qR1OihIxxiSddML4SpIzl58uVO8wUhVBHjAFhO9/6Ib0bd0NrSV0STN
vsXD4kjDfBSZIIBUnIyyg0aSfCm5fTjYkDdbJhAUYx0Ia9vJMzLzZhVkvkCJXTmqj5JBaXIZyzKR
MMpEYJVpXvE73jDjZfwSzQF5ckz1tV6OTsjMEzgJ4rpNQbnRxz4EYuRhXhA21UjF6yNrs7LpYPMS
yTTaBYOs0bKOVqni2i0eyQ3FrmzediK4zqvyaPLfPRKfrOuvQ5s0O0Gkso+dIAhGR0wJrbtwoCtf
F4Ub1PI5kZKvRaJ8LdHxR02C5xPhS6dc4+XFfUt0ApNHxO9ulVbTYTZNZJTo+5ARvFQMTDpb9+wa
5BZZqc40D3urmCcmWnm+b60CwTomSCnEjTcFMHr0UU02lV1umJJJN/MkVZ8coOhQ/nPlRZj1MxhF
5k+td+t7OCmYN4wUp1GViFWf2tPKxA6OC6dPj22mDp7Z++ugCDMEj/OrUlbNdVUl8p01W6mDa+Cm
WzBWo+8ltvkoj+2mCo0feRIHGF/oowexLzskAK6LmWc69SO38PXGRcMyIxcA62Fa7bYvim+1OXdu
FDcPAs/DCiu46ipYQpyUqNrKbcadUiZ0iui+K3G9EVp/lYpi02Tm9ynNbkkJ2XdYqOYm3VedOJpl
QQi3sDftMBVeM0VbMcKhavoIm4dE0KkWbwL2Ja+Rmxtt6hS3DI29HELEIXlDJjFEITmgHu8RkWiY
p7qKZ0FctGjO3cowwBhHyakv53PYxLtk0Dc6cQagMyv0+gnTO2vx41pIX5Dc6EF5xOjDeDIXlygd
DmmXbdnXCA4poewUU4NboL4QOXwDC54uF2BSz8glxBMlOs26vmIi2HO4JdSyxrCuTRoU4TF6tmXz
EEGaJAawdC1CGpOk+p5U8kYpmTRqyhfyob1MhbFma9uBdUhtiu+FbR7lSkavZkvffSaLTikqPKHQ
Q5I0U3ZSuaxl7TEyjSchp2tZnvDXEO83ZUJx42ZKgLsEF3XWFY98L0QfZWxtRRZ3DwXO+APhwjUu
uiHbfXxI+LXK/HlEgIzDpFLAW6Dj9e6IEJO2Bcwli84+Mh813uOa+6TKXOqVX07OKh1aXIl0rukJ
W8q7IlM14GVbdhCcUyNmNn7BkrGNypt6wK9dp7QdMBTHq49/K4Qkn1z1XZ3ZlUlbaqoknYDe3aLW
W8gI+S274hPCbLiCZN24raUjGFN3fZcnLmaLmLeCabssosLN6/mpkMxj1Gqyi9+ZrPRB+WaFmull
cnxvWNng0ag/mKn2BbbXuFdS1eh4mvJi1c1mvrJKCUlkSWyEmU/TrhtN9VuRx+2aoFV1FUXRS8qz
SovNCD1W4MlrQUG4qOFvUTbNhFEm96Qril0WkD00td8JLtyyKd01db02GiZoQo+3KoZlwlA5oaRD
nm+muZPdKjOQ6Qw66udovBFhDmyL0O5KDQxHtwkKaXpEPYNwmjLa1Zq0Jbr0bpzJMJGTvd4WkL2W
6K/IVwHPtFHOQ6zvkjkma7zy8skXnppi2VP9hFVWfuwXb1QUZ+gdx01eM+/3Z55gGeFBgNYCWXwR
kxhfzrHl1al/KheMlm5ulQL6nxWMtyFUVWcsJSCsCfopleHtbLYbiRh3R+mKZyOoTrWcXVclqXXt
2MIY3fd6Lzm9rm5NAjC9UlHu8wnwrI/Hr6+7M7o0zYtLMuVq7dWqZEiIi4JL1zZBqR3N4bPq8Cc+
5KNnfDmIv+lqQBQze0EK3Sk+5lfBWVpXh+ph2CDI2RpHi63HfRGDQ5DmKf86fNJS+akm+OfFF2WO
AS9csd81DJQytPLE0qRT6elOfhRuuca9rRykR3Mtr+T7i+QeH/tVzND1mX+k5+koO/to7Z+XFPlP
Ps2vG99PqZCuIkmGY21QRr2vkyd5wE+lxOE5lK9IGnQi+bHutx+/3b+uWf+8xrsh6lxnnRSGQCGK
6jWot/b0SQvmt7+DCVPTXCwwuFN+vZvZaMDYiyo2b+mqsnkfdM6cf6xQ/y3fl5X4fy7fT891BPny
+Z+1+/Jz/67dCdOUAajjSdJMDTjaL6J7QjtUCGaLl8nk1v1Vupv/svEqgSD6E8pGM/svx5KJmUlV
ZCpt9Pbm4pv/D5LofibhvdnRfjrgCfqE04bmS+NjvOsFxQhdhTmL8JLJhNWeQkG04qjIobXT6zwP
rgpp0PdzVxlfjVAbeEClnITmYZSGL/VsNg92qBW3th3p80J7Hoq1mpvtY6N2aDQXDsTKCGOidiLp
YRTozsdg1lA5wvgQo3FlgdJCCXnpenJL0umZAeizCH3NYbE3GitbAeDaiBT4jJjQoyqJsRp7IuOk
es9KC4GkQR5LcQJKXZ6ekwo9ajXUA8oo+rCNQvLkxBHUtQ1rneY9KpuFiKt3qE2CGiLGQH5WZtxo
PYqeyFC8ROWk6KMygGnh2b3yXOXVbamKrzB1VLC49bCGwYpcSczzxorszKWu5bSo6TexYR57q3kS
TFASI0+PJGMduhBOZuULy9MaE1RdHZDsPJTgNOfkpq/K+0qby5Na94iZcgbY9RKwXZMrB9YRVXyd
AiVtVYrbMQ/SIyT41WyWT6oBALJRZOQxcv06N/VEAvIIxaPptoxZNrKdbRUstwA/Y1yttqtpaE4g
KqzxMxK6EPMdVL4yAIC09G2U829aP3aIcIqHPEy+4628trTQs8r0RUnCO6NoaRq0sXb0dX8XldJ1
VC4prDrSPvLbUZVDRQvoW7lFit7dMO60GoIo++J3o8gP4O5vysmi7JIt6rzcNB2s4zF47/GQo8Jp
5QHCTZFv0ggdlNC62W2VHvV6/hAbDadcA3kr9tsVGrzbHFGoKw0Q3kLZWmuV2Z+7xdnP+MVqnVrb
tYmRPVCej16ddMiniXTW1fCcEwLmVBKcy3jq7usp/ub3A/tZWHeODuWXrNhHQ1hPph+4olaeIRxz
ZF4+htzfSBOQOH++pEmEwVusbf+Kh7Uga6Q7pnZyNU/G18jATJ5j1ljXYJ9g8ibtTi4nIOc8dooe
HwsBGmuBU4WS9SiBbEbpAZBFiUfA6PWSvpac9TK7qHZ9INTxqm8wtrd9zSHc1CACV18JQvVCXdxn
bRo4RmHuy964TNGgYsXrDpJNCdZX9I/95s6KzW+GNJ5qo3sVfnbXtOZOMY1j3CfKTg5NA4m4DYG1
4D5gxPqeKgOv2IwLzRpTgqBz48IvbzjtED5VtY6MXc4uwleuOHasKzv5Jkm+axW2DHuatLRMza6W
jCV8uuHBzNr8MTTYatIJqI0k5+lBIhcL38uEllM2DBeM0jO2tmTVTum10vhPqVRMLu5ObIqUIbY1
H9O8PXUKIvhO+zIY2XOrKvtZ56IDhNcyQiZm78KyvTSpvNFUbauWRL0QUQls1tCcXLPy9QRCVxML
slFR8N+HGEda9RARn3DdkOvX7MdeWQrsvEevjYXEtis6HrH12GVQdIIiwzpTUW2uq1RG+tPw6YO8
KLxy1MTVOGl79lXlHPJiudxznTgpZgt6X3NzWnN8nCs4/fD700Osxfqm5StYDamUbhVTmhySeEww
TI0fAJE12nDbSioGSE64qGBJvVlLMdCun7vTf7fp5Qj78Tb9O1sxP/TXHg3WT2VzJsXkj7347R6t
4pmDZWro5IexPfJHf23S1r/AzoM61SwZxY68jFn+3qSXcFcg9iqPG2Jt5T/ZpMXPsvLvUzGb9GK+
Q6wltOVT8Bf+eoiDwKwbhiTPFxxiD5UKRyWlAlyEr5Rlc7a2KmOjYE7XJ+jio/0APj1wCHJgNbCN
u9jSTmrR7rI4XhH95zeeaWYEO0Y0re7Twga8KuTrQMrrXQtgwfZyTB7fyNvAPZsrZK0cECxmIyYs
mSiFFK8WrqFolXVxdy3nJUznzrgdkqUE6qeLrUNlRWXnlSHI7Wos7qZJeiDr717FkuLIgum/XMMt
kaZLGFl73gNvCpuXelZBO+WDE8TyTRmLK3ADD6Jvci/k5UfctTRTCOLo/PzHBHDQCRF/+poZeAKi
Ncyc8YKF77lKgZDoCPw8kpS+YzaZvVamM2iP1iqQW6DSRQhYHU4um4ikTbthBE6HHvWgdOZFTTAY
KeFh7kxXVkLT7bOQc4foD3VfPoay/UUiWIMWtXqdFM0Ksd5DEkEBreP5vuV40HdKeVb8AQZF8UPI
ChVcdGN3JaQbNTuWQbZTsukhaVivi/6HXIO6kaUJTS4aAmeOerIDpKR1VFhzVSMRhBEarjQVwvMF
hZ9OdcRJCLrcTNPf7Vsk82ExuO2SKV7E9LIzHNMrVMmzm6MuhI1ovuDT2ueqMm1aH+ViM9KQtgQk
BHXbdfXFT4mIUinZwd7WVclWYnTZptVR2zt6mu3UtnabRj+1IwpttWCtC/N+rcn+t4TTXJKOkqN1
AGXy8TkwMNrxd3IMsOlxLmGwIXtIqErPMthEF/0rzIaEnl1jvxIXRg4HX+zKkptuLbrQOKaDSp5p
Xt9iiNTOos2KgyICmvamHXtz3W1DUgUIJQVznvYmu2mmbGiBtfg0KuPcMd8xJW2HLv2BuddW7sTD
0ANFw8Yge6g7FUpEER/LvAAbA492Feos2H4fS04+xppL1K+/mRRFPpejKq6J34V7k/QbW0NBPAT7
LAEEPlbimWpR98gpiy6mKgbXZk+cLICTLShFnOSpqw/5t6lB7dxHT0VAcrxN4GgQcj9j9sSLppE1
O2abN4vabyZk7wo9XYY4ABCUEs9Y4FkLNeFt2V6qI0Hxkq1c0uw+0b7ruvdpf+03l0A0aqigDVgJ
6Qn/eompDMYmjvBMJc23Lrmayrvc/kMo8t89SrA7fLBHvebfi5fotwEp/OCbfcpid7AsPNocRxcw
2l9zYKEtpDXiBFGQcnuW3uef+9TP7HKBvtTmucSkvchY/tqn4IXT3JD/TDv/DwpJ3XgnhuH508lu
AaeGRhZh7vvWqJm2gQVFQrooUuqSQQQ4S5tf/YGJXqKnhtOp8prpDXDIIEs3clTWN3adSdfC7CWV
d7zITRK6bNprtjKpXtco9SMEJnN60SXO9kaILViISdvEVYvrWFgzpM+Bf2Mf3piWXDtjPVibkZCl
VV9K9rpWxFNeJvJLUKWZWwkMXUVopsydWnKyguV4W/D/qiaZ15j46q/gWBVyWVILmFSv74fc3Mdx
rYLZrHd6yGbYdNKmE903cJGc2gj0c1jpIEwsq5g0naYA4Wlm6isOsf3ZymWMgHUcrED5AjacoK1O
7JZ0JOn7EUhKBgFRwhbFpCP8ulzNDFJEixktbnLO9FOLPcLSp1tFISoC5yQxZ+eoCkKPo8J1PLck
xQiFfBnKa4vj+wBRroEMaljs/VqbQmXt9WFlWiPzCmIJ9zmMSoqhaNzBhJJXjV5hP6opajn0ywXf
GZNRbot0ITZtcvTAZoyNobmNtH2lNfgO+2K8niktNjmC6Ouxly+YC8OtnSweVQ7DQG3nOVpTpuQ+
mb05QdhxPBTbGvwvVg1zyZIeMYqDAZNqRmbhDPsjL/1bDFrlpo8XhjAPdr7L677nwF1Ee9+QrFOk
wW53SJA6JUQJW/lJqTr/WunCL2mIQTvMjeegZpoxNCCfOJZ9SZQ2WPlt+YNSOHNbKTimS8yIFU+X
lHkRqe3Zj3DWPdrI7QXiwESOHKhZrbYS184xT0i9sav7ytxDQ1XcPp5uw3jRLmXZRgv5h13DsBp1
ZJLaNAjbwSU58AFa0YHtrftBaKdeL6X9pJqugh1KvdL1BjZUTX9Zxsyqq67Ayu6Vcdoe68oGpMeD
doGYYazrSq8OhkahIRUQB2qa2wzCug1c/a/LtoepVsHCPjb7YYR5mvaBQp6Db50ToMdSZn8XUnM0
4uy66Lp7n5S0pjSZgwipPE+IknfCqBcm3ryVdI4PAGFTjIS+DwT0tZXGQ5QyMNLM4xSS02XG4aYa
cQjBx+J3vlhTjiEOPEMvHXQlOmYhdKWo0/1TbgFMywiVW3dhcBtOY7CrwnRXx6jwKm6SFVKvDqBi
pRgfOtS156AbeAON6DL2BSHsmAkdqe0zlyxJrGTpzm71lVWTcFhDKWGa6hbWD8Mkn6LN1nSe1gRN
u3LPLhsIzotsvWEZ78xeI/97dAel/Zm3FNKpSu+tVL7QWLgnhN3iIbULA96jbex9a/4BrvlGn7ud
SfK0mmUrg5ASqPrjAaOYi9/xOTTUjVFj7AoYQse6ddXgprYK8d0mOMbJUvW1tacbTRoRpFflaapm
gO+aW3KPGXhFrsaUkMkeuGAZh7ufvcBJuRuW51FJ4h1u5SvCDS+ZhbkpRns1FlCGC5eFlOJXR4qZ
j+epmlzBDDj3O0+yKJJnaUNDY2syZMnKeGs0wFX1ZXYqohfDwhoplVups90khAtQFpe8lK1VLhcb
5IpMqrrgSrSpF/XBdiSiJiukI7DFNdReYFjE+KGcrXhFIDC5uJQ8yhzXb1OiZF4LXK8jwpLYkreT
zDFmyJ/0ihHpDPtf4xocFzVfXJie3Tatsaa1BilsvNFG+y6NZzgTaQpJYZA3mQYzwbd5An0JRo28
tuzsx0SfmhVuDY3SbULLM6wRlGIT7ji/bqEsPMlKSxvAujWM8skKm5ugn6677Hs+la+VTNA2lB7H
VMllNNDd+5OXBNoqlCfC6MNr/JenoldvaIj8UCQSuGrZkQe6UbK8lex+azUSzNz0Nv5/7J3HdtzI
1qVfpVfPUSvggUFP0ltmJj05iUVSIrz3ePr+oLpXJbJ0pa6/p3dYhgSRCUTEOWfvb5vZoTbVO9pv
OLXcamaZ+WR63VeiWfEqXlWus1L1aqdLsOl9sYR/gNEqrRbE66QEUmhvXZM98qvAb0qKm4pEO94k
Uh39bj6k3UuVVhzClT3Rr9tRsZHwYElrywjfLJuEn0sY4f7AYdqy11rdPuB9f64LIrdyews5FfCQ
IedZXW7wuW1Fn9A+NF1m3u1jV4qHrAyvM0WFJtfTEWn47EgWS+uNXZs8nfaaedMF8vQ+Z07dKgTQ
BPbG6eVJ6uMW8/uulerRz5gxpU2wSuLhTDIsYDac4p1Duo570NX+KUc0OJTUJJrr3MnSulRldUor
87rp6WgQNHHTcAJtc3CI5Uhv0YwPwIWJPSjErIMTWk4L1Zg9DlG910oiD3N8wlRnoY58t5sOPSm4
uPSuzIedqmV7RTP8kyKpOwBpxTcVYKH5qNW7kundSOJTW0dsPOEXqIt3YZ3ACGDYPnPt+slAyqOR
kRlm3jIK1C9Wwnm/Lh6j0t8KTT2x3gJwmjgWXbUn2JH3Mraj+SjUJ9+s8pWrR7dJWZP/0UfrSFfP
YQTNISJ/OAUHs0IQt5GRNe80JVkGoEpadGi213lzddAWUcxs30/PvWetQ9nveiLPcgXdUhW+1ASa
kI3B2Aqvywx5/LJpvGXpK+kcxCUCsGaexGwSvZtuWsX5gvd6RYLG2mvtVSD6JXUM608FbdDrx1Wf
pPuhxmhWm7cwXNlr6nyeQhOog2iu+J2yS6Ft5wKLGoCCUs22sVIfR9r4VZm/IUZAhlG5xDv1x9ag
iEsE298PR9r/pwrFZK6nWfA8p8ne53Fa3ZVl2QSpchIJQFHiuKJrBTDfry8yzfj/apUwo+MYOlm1
VKEDiEH++LFGgYUrLNNQlVMP+gMoZ/PUw8rWIbz/zv74swPvj1f6pDbIZDaoo+RKmnPlG7T0bHU5
jtvMug+b5yCzfqPa/XvxxY3xNqF+pGFJQ+rjjWkwRh0ZZ965VZ7rZl94b2n89uvP7md3xGmZwzKX
0Y3PNGSJF1q4Q+6fWwMzw7ohUyL2aSp464B+i1Zf/fpyP7kjwisoWqhYKSitT2KKiUurDaIOzkHK
1F0HMOat8+g39/Rpvjo9Dx8u8kk7UUmlNi3JRUImPnV5CF1/8f93G9Nt/jAvb+uRNn3KFeDwkiVA
RN8t6PbfXIQ24+fH+sNtfPr282iI8japgnOvwNw3525wNmASufaTyQCqOmlN9Zsr/uzbgQctgMRZ
yF0+D46jwEmCNFSDs11cCgEQJt7a8v2ff3SALCxyU3gOCL3/+NFJU1cspy3DM/yAZWItbBBMXXz3
64v87KPTmYAz4VR1G/DXx4tknW/bQdCHfD9PqXXwqRRDFgNX3oTN3oBr18nLr684PVOf1iCWuL+u
+OnLQo+Dfk8d4F7THmurB50D1K+v8MntMrEqTdWGZqkxtLV4Xz8tPlVGCKXfq8k5PNC13bJ5HkFr
LM2Lf23O0yVBL791Uvzsgfjxrj5dEqJ50sMBDM+thWCH+Zjmsihkm1/f2c8/O4bRgp2TBJ5P35Y1
kq1To0o6y8KdayCOnfo3n9306X/+duDR87S5dLNo0X18HvJKC6C+K+HZpvQdHI3T5nNgQFQJw9/c
y88+sR+v9GmBoyLOSsZu4Vkl0M+5mPKmGH+zvP38EmS2qS4GAFCmH28mUKPWMUYvOqfpyUQp0wfa
jKDE32yqP3uFeNi+X+XTVw/nya8Hj6sE0VusIExUliUpglEzj+qzEq1j8zff0d9uC34qme+GYODC
JMX4pEogTcvOE5t4lLpdF+VzZy2L8fofPmifLkEv7cdlO209PlC/iM/kGc5UxVsMpO38Ty4xZRjg
kXDps328RNj3iRJTaZ2r+E0Ztwyyf3OBvz3K3AMKEbq+Jo03dEofL8DSCV0mxeXIOS9pCCIItwHS
+tT9+u1G/tuV1XjwftGVzdL6K0r4nwh8+LnvTVnxBz1ZXj+Wkz8hmH81ZdU/sNfw9VuW9S/w8L+H
h9YfrgpumvWHrYLf9u+O7BTG6EDn5BjGzBEc5z+ZHNrmtMT8tdhNVAE2PctFMkTXXmXI+fEJSXJy
BwfVwQ6rj+0qF9JYAL14skndyuzmAQD3XTRe5NCutUJdaoVzaWrvTsZjNKd5pZMjTzpROhzRDnjK
m95Fdwk4MDAXZbiGIflq1TRTmY6Q9BJuhEd6IzG/9HlLOfdborWYgT0raZu/qnUaoLOMuyWRs5KU
hxCYe2ltpFfu0o5TZqj7DwmlN2k6TyPleZw75bwj+mYIo4vr6y+lpT727aDNadEcoW9n88GPGMcX
4b5p6Hma2KQfBuE8B/DF9yQMyaXamRbpPeFd1MTPYrDHrZHQYwHBS5t03IyF9txWyZWb4n237Bu3
XEfwQgoX3agZdneNHzw5gbLpRPZQlYq3s7V84ZLIk6QtOY0I1nEC90NwNYlWigEAFbFhXzJkCSR5
A/63uit30mdkgbY1shWNa6iJ9Ha0m0kGSgurjp4KzS9m/Inrqhrph4FFjA0aD7UJJDcKNYprQ84y
s6o2LQFnoGlAXUnlgCe822S13aIGbZZdFtICg8gjaNQZls8UOI43RRZ/KSn9FrVWoTspxbq0Rn9u
ts15cNyNCGngCAl6zk9pYgX0eeOU68X0XkyPXB67fBXjEKB/59TkjIuMorW3pDslRxwor4HruFcJ
4UxWCGeYnAIAoj6SfXthmyP8HYOWWCxMqO2T8sOjzTW3upY0qghxemxXQFyCOpkHNtFGQ+DSP02g
7tf2C63TLdSgetVUdKAYkE6N/0tnwwK0VY67hf42TCgfowivU5X8cp9vTsn1OxPOapGQIMlG6RwK
Rd3GTnbMw/6Z+fW9X1WvKHYZ0nWDXIyWRSJI2ITzoYRnH4X1th3qbNFip2oChDojpPF54CcXsLH6
PGr7DYDtbAVWFRLhYHWzKNvqGlAlBFXvfB/7LM9PRumj/xJrIGb05mjyIZqmoxbrNyH0VLxm+1rt
jtmIgJ4O/o50iQNoq62W4KSJAafCwHoNidR0fY+EFC2eWcikuyq4yRvljqJyK9Js16AEzixrGwnv
hL7mOa3iOysq+FBHYuf0cq832bFpGSTTmbrESbvuZXAwGosUgW6Tu9lWnbbvwdjQbNt5Bo3JctD3
Ob6DrhJn4RvxqoHRKr36sbMJ3qqMkYjr+pQ3AM3AqO1KV7s2g3wfBe0GOErDHSbNlgjWkyHKo5fb
tBxbxhEDiiJPu6my6oF44r3sw2Pjw6LyhusUgiQ+cP8hiv0VW+ODF9lr08s2iRU4W/Iy1lbbERZo
10c9dYM5bOKLQYeUwdglUVpkZ6KY+025bV3xSM5fPHdEHC9crbmGwXpooJbP8Nb4M/bHR5Q/G7sh
N3kg4qwflTn5VUc9tp5Hx113SresXSKzg/YpZcxcmeJ9rAAVBAE58MiTAsFBfGaPSppcawGZH6R3
xtrKyUzWvl7Xd4Sy4AKz4r3rNQe0X9u+bqBNqO7e9/2T0cZ76Q3djBbUsZMEuARu+toGNWLqMgaN
566LzL0qccSgb+pXSSFUIKbqfaA2hx5bnB4piArCm3H6CpGTvuZqz9voESnR7VVPeehFe9JV9UpE
ZD1Y9pSf171oCoqMIPdoQRekodd8F6VqrtIGrF7hJM+5rh8HN6npEJWbKAvXJO11i8pS7+kr74qq
nfk+JMZKubSII+eacQtSA7H/+BrG9s1o1t4hNYt8Kzx5nSfpUZnkIbKAVjyaz2purcm1nRk6Mruw
xgjWlb22iXqDd9n7GpHWjdclE/vBHg4IYbWVqgLaEzBB7cIsURb4ORJRmt2WJzZV0jxWXXBTpONh
aLxbWVabVCF4su+ce/CXa+751hvih7rwsVQb52iit4p2roUW8HIouaaRnbrauw3EWC0cq90o+BLq
0dmWlXUZY3VTei4fjXpSihIjP23lttFuojgDSaemE4iui2at2l1y3TpWMDmsZVwpWrxsuiK4N5Og
ZvEnfkxLmQAlTjzB4CzQ74y4Aqfl7RwPBbPMmVVyS8OQb8p+WNte6oKeNB3GMG26HBWUg1oLeNhr
UQ22TfLakpNiWGm4Yodh0oUweJHDbu2ZuJlZvZFEvC36GF1F1rrtDoBUgspxeE/LioklCT7RgBtE
D0t1ZgUIYMw4fmgzT1uIwSppR6OSA6VnK7MktDAkJN6BwUl+SomHeQxVG92nOZbKqnE681J16Uj/
dmSC2cUGgVYt4vhl3gG9GlXlwJB0h8/orDnRyujDpa2N90khrz24uE2hMeDV07kWO5Dd1OJRdmY4
dUmXpQrctY36dQPlb6nX9WsbQr+PnCdD6se2Y2KH2g/jHVA4kyZRdUu7flg4tv/Cynov9HLDiPkk
zP6rDPU9LGoTPyoN3YAE9krRH/PR3NtBcsQ+rJNWngD1pVOc0+Zu2KLLgbHPn7GmJqC57LquomCG
kG+be9bB7IONWmJxjPItpGaolSJaBDYaISvUL26X3NRIrNpswEKVprcpvpV5AuRLBN1WCOXoGuqc
o9Ba64ttLeE2RwRL28UeUvaDZej7OFV3pc5Oqzt4NPM3GZL6EHmXXnJSGJg6jNJfloiAzaL+mvju
QUnJO+ah6/HgNm78RlQapk7ylTMRXJdauLS0ABJ1OMz0hNicXtxUkUILOFWUOYZjMo4IW0WmJFv0
zZMcqHGrVR2qm6TRHikkSYFV+5WpML1FpMjRogByHRes7tFjDOWE5Blv1pXa0o2oNRsvxgoW3hMu
sNad8Sxa3MtRrd4OnbrSw/whw4HOUA0DmNIGX2SZtfM+7Jpl7etXAM+vpKc/96KG2BzmUB7tdegG
WzcQ7srzcG5H49d8MK/qHAI663t9sDQeFi/rTLh8NmSEIVeXcrCcU6Zmu9RolhgtLeRi4hIbyiGu
UQspnr6qKsbN0vQRWFe0nv3BejI7ZrouKw0d+v7Q9w6DtS576M3xkivWk6YR25wHxaNgWEIyQ7OK
qjamnc5dO1LduNPSUzD+gwfqb7wyDudmHh1zJrCRp4wnaNZ7QtCLhcZoblGUyTtSUyIhhgJJKv8E
bmehtsAsgz5fk9uw7WzmckPd4Laddm3TeOxVXrRQ4Agqe6ZkxWBcqVFwhUx4boSGv7X9sTrkTF6Q
Eukw4mJv15Xy4lbxE9N0YzO97liN6XOl7OZU8PqT4yOgzo2L2vXBwdVTuI351svFLbGRhIGYgnFe
s/bI8BVJdCg8sW5sg/xGM3lvnAx8q65BXXZuozrbBURVRS1Esrgj6kGrHwe1uCYQchIl2leh6l0l
qM9j2xj2iKvui9h9Mnr9mu52tjf1MF02yMVWWm08jYm7dfGuEgwepOu05RcrhbrK1AAJe2q0mzBG
Rlyh5CCizUiEftOroUYZUZaKscQsbmjhPNItZampgSQw+IeK7/xnqfQjeIBS7IcCasJmuRapCDjB
VWopOiwfCygtEKLXtDQ4hTmFdXqsxn7mGje/vsinOv5fF8HhjnqLcZw9VXE/tJAjCV9AqaoAfPNW
SY+C1JOJT9/d/voyn3prf17Gxo5g0BS3hfOpWSSFcKkCBAd37b3L7hT9NwOen/x+m+GE0BCI8XF9
/qwqd7CyzEriU9rxoG0c+fKP/35cTBqfEB/UpFv6+DF5Nl5+3SySk0PdYZ7Nf4nP/iPr79P842+f
z6fvGtu46isspScSsZRkHiHmJ4oBI8BXAoR/fSs/uRTYDKx7DlMqgNefvorY8cBLjFl0gkHKtK0W
M2DEnjFnGwZn+etrTX/2Xz2Ab4/wh69lesR/eLqEGiStbcXxKdfnJM9hrebVYk0d2tWvL/Szm/rx
+/90U6kdugyp/rwQxHT4HOQzs49MW3H+m2ftJ+8lIjOmfJPVV9c+Uwp1krIzNt70VOkrGb+0/dKU
b7++nZ89zj9c4vPjNlYmZyVTpKfUeQnlk6H8Dx7nSc1tw6jWVPNb7+aH7yUsYrM2FC09hayAOkmP
w/9g8UJDK8hS0XltcFR+/OZTJeV8b6nZabRfOvuqYdgs6t+sXT/70nmIbZP5yjRq+9RHJZkyTyEJ
Jyf0CyipcK2o5qWFAp0vUHT/+hv5ybUcwW1oqu3YDHM+rZO+dITuhmZ68qeaeom12YdFUMwyzljX
3y7135anTnP/P7c8SRP6X8eX+mv2957n9IPfe57aH4K+PGUOik9hTLD+70JU7Q9TU1XNtF0m8N9C
hv7d8yTXVzjaJBC1GMt+ABLhaqRHjkqVTiqnwn8GJPr44n6zS2CPdIgyshlf0mL8+NiD4G4wjg/d
SWTnEgUQsPbfLN/c349LKlNlZta0dEkwniaKxvSg/vDqEsMW6Y1NbkplhLvAvlcEvodLZWxUee7a
q0pd/vAl/OQUgkz3N1ec/qIfrjiVwgFRQA3nEPDBaDxrGEKkbSUY6bLq0pWZs2trMwf+bEpALysr
HIplISHsL+uktpchSfTPveZqW2IjJxQNjTu1yvSZ7vgHk8B1bAHRPCeCvVWid3LsHqfBQkbIItpc
A9WYR0wG+YsmslPfWZZTqjsuOY/+j7WupsR3E6ztysuDbC2HHlr7lAxvlw1a1pGZKyT0G6XD+0iM
vNO2e4yx+PYCODoEzeMPoGyWDlggQuiNAcIB6Q+SdvEMCeMGvNG59fWZBrQ9FVNSMIH2GFdmja7c
lVPSfZs+twTf97a/ae2xWqp1tQZ3sDZyZ+dDYZr5VtZR95XVmsjZI5jv8cauxTdD9FClNxlIko1V
oNCn2t8UtFDry5jTOCFWpOyzU+wZh1qo9lWajObGIN2HolQvXjE1HnAoHukAHXI72PZRdyxdSVMn
uhpG60GNXYuSHOATHtxViT7PMMUX/G7msjONY58bO6npizbKDzW2ERrZ20EPzgIUUyqLRdCTyjT0
B/Q52aIewRB5ZrevWvGAUG9pGBkKoHS8M+PemxHwikC4Sc9pVK8p2a+iMdqJDCJKn4MmimrGnUXv
pLOqjQTC1XhZhfYdfSHm4YrwVlqSN9um6ep1LLXq4gTFcMDmiOjI0fZx8sVVupPhO9dVQztB9REY
+z40YEppGQfnJlVuujZFwsbXkk121MClkK6/2D6tTdUKLxrlvtskDVwblTadtaBOvWAbBGKct3SG
jXVXtitBcGFt0RFRBfm62Q3G2HMiC4K2ezpSdRy11/3gX1tS3ZZdg0nVeTSidN7bZklrQNHnYVC+
pzqePgpuvaOwGSWlizBoKrRfBT6flCZaYaiUbLZL45Uhha7jLlU6sma9sx+0RwMaRWEm616YSzK1
500v91WFkJlisBrrqSd2Rd2w0Dply0JxGRyvpvWPslc35Kpw9XuDYFSNN2ReTI4m1G/DBgIMetg4
pa6ktagPyi6qxtsq75CFx/VVQMpuSKJ2GNIhb2RI8LKjvbhN+EJ7+Zhha5pRO0fzDr8viRhdMjdl
62z+u+l9i9DTOBP/503v6mv78oXD21dUOvWw/fJ//rf6/ae+73jiD/4dO5QBXwU1DCv+9x1P/UOD
gMdWaECdIU30u/VCd9kLLZJUOLNMeXsqB7B/D/rI4mO3Y4bARsUh7R/N+cjb+7A9TFseCnWmfVQS
DBv5Kz5uDwBvct2UwXAK0rM+2PVckzSc+9q960etm4kBgI+rpQdnjK+dwXgd8liZ28qoYtIihpJc
ZLy8tburIvekCw7svWK9Esx5jBv3nuSmO16ld/SJq0KxcgxN9lOcJ/nMqSxtrnbjWmjJATkkQkzZ
uvgAaPCIAj0uFRBzsOje8qyRbAkLdSXqVg1S6yzTzEeCy+69YXwlIZTZVuRuuqK5i4L6XLoG3Hip
rtEH3IDyhfnWe1eyrXdZ1+azQan2qkOnsMeNlvQZ9zwuQqhwhcMa5sAqt1yJWjtdpb7y0OR0xQi8
Rk1zReW1Gg3IbhjR5VKmbNUj60gYFKvCwfqh45VXDfVL5ganKlKtmcc6eDOSuhe0Eu9aXs3HosdV
HurBnHQcvGQpGSWuYj4lI3gsq5P2sg9EvCPayl0UnVotlF5CRsvChdNN472J7zUYU4T4ONPV5sZC
ok1bzrwvC4ZPpKeVBr2pZtrhGzNDytlbDAfv1K6ju4ElpAB/VtSCONkQ5RkDSC8kUcb3YmMhMwZv
RRscaHEvo2pYi7jfjF1rLRv06+zhQNKF0c7tUeLFRuRs2Ky9uB++5qF5jAWpMujZnkcyBWeo8+ix
yeauTtPnAPm3NDGCxBmG+Wo7NA1QRDukE5pusI8qSz/Kp7ix9ugKkp0j5km+Lx4Gw9olOQO+xBxe
CtUs7owE2XZiXKu467u82zZav+7DUG4CU+ozJZAbxGBw1Ap9P5BBO3MVVM+DMvSzMXHulRY7gFUo
q87VMBG1DnFj+F9ktx1dcmhEllszw0uhNygw24p8HQQ+2ar2eE41udIbdjMFiUxZNvcjzfDY1N4z
nc9MhjT7HKbPMrpDjf3kJeW596Ng3tfOJkrHx6okSE9k/oYZlj2PGeKkfb1LGmCJBBo9tvgNaGy/
1EOwJFVp74bkvgT5kxVwnpE606lI0G+Oy/i2Mco7n9pyljfkyQmbUAgS7fNRzWe1/VS49H7LxjqW
uX09+sZa6CSn4/dYiwGfStM8m453jTl3ZavpiRP4qc8F4QrWqB1I3YY3YaWHMWqvNN1bRemXCN9m
Q1NtWXVynQUd+dexoS4yczgH2BgdAXvNBcXHtSvA31U/l5b2kkiCvE0R1XNRGeCgPG2GQ+DWGrFe
9Vlsz/TSvgUPskfP/TQ6/jF2+4uuKWt4bAS0F+4XmYhN4jo8RnYBlCrhAZSTBaBfylD7Cmc654VS
b3mMH+0a+p0qs6s6QEfu6l/ccSiXodKdM8nUJalUYy49DWKiJP4stnwm0Fh9cQv38XmI3OsI6MPU
DYas1gJrSgYVUIflvvayfoni4ixV4qKkbcpF1QlJ9F/hLsvQ3OdOZZxH3VljsfXTiyRk5CZP1Tc5
6MTgRuPdmGUHffReVRr1TdwMGw4VyrKOtCu/JuKwyv0K1wRTFHAPX7PcHpcNQATQE/nkrCncWV67
fAKuDSjOjMu5NMrDqNr7WlN3QaNuyRS5Lhn24EPQt9ZoXAEr3mcJdxlExSKvfcEARjEg/UEl9pOG
IajxZyXz3zrXZBv+z1v+U/P6kw1/+pnvG77KBk2j0RFTLt3nDd+iFTxpfvBiWja7+r9LXPcPpKwU
hRSe/C+ovv7a8AH1TuQetD0EKQJjcv6JsgeP5t93fN1WoQvg9sX1+9nvG9clTrCsF6c6zB6lm5pr
K9KVvUZu5gxNXX5BDJFtmtRwrybaxSrLJtgKb3OJF5888Z7ZDlvRoZz8GYYTcbTtrHXbYQhx+vxY
MiTPW3bv2nlTKRgWWtJtdHivCCe6rSudFboNseAwu+bNjtGcDcnc7oy7Li03RuCnt8BYmRjl+ZtF
eFPW5HelihHGIBOJmW7xFuN+ZIhtpJR83abP+36ORITXkJYfXhbDOCu6tZdW5y7rb29tpxCHMr3J
Ma/0wKvNFvkmE6dbaUNK6Pj0/js0vGZFplzXsROjJWGVSKb1gvA1klwH215I/MtzZjRklsnh7PdG
uSxZciqWHt8srpxpLcr96DHQ9Ns6c/OFwnKVRybr1ujdlYxpg6LaNhYt+mRUN6hUv4hpzcPOSGJl
f0lFOKUKPiUsjuHo3oK6tXmJWTdLTdzmdqjNRr6EGnjJPJ5WWa02X4Zp3a1YgJ1pJYZlp84K01p0
hjg702rty+ASACSaKUnndLthIIIWLykAgXwnrPTKGYN9O2TeVg+r62Zir/SmQGFSJihmLMwlVkz0
VB4v7BEwMeUorMrU1Qg2deu4ijZOViJKSCvn5Gr5sEYGxHpvQRFOCxekfflVK1q2idH2LkpD8TgG
5ptLhPpVMWjvMXuJNSutTCz8cDph+SU5JumkhooI0YOREK3SOM13XpSdfBA4cxE7p07J6rllgZDx
how0YUMH2DRJW7SrPMupufQRvX7A/AluHgJNkxCwHl9CqzbPVu7fM+Fv5iUeNwRU6QKAFZ+bx4cb
p5MfthrvbfyobCqviSfXDcq4nZEqF9XJ3w16hqQnrxuK4XkaWeVc1CXLL2DO3Ep2Pb5Dw9NPgxqd
DL3p5+5UwossfBCdvDNhMG9qLIRzX7Hvytoj71TVDjLXQDM7DdtvAfuoEeI6GeqdQJpQROF1EHhL
q4mfiA5+Nd0yoxblWDhUuITBFC1Kq6NfKtKjCcGZ45WyIxoeMrtgnti4kFZTbwJyqm8OacWLqh4e
gFKRo6ESLIPzbpbVI3GjRHtGcgS7mIqrLu5efT5rRoC5nKcWg9xMAx2V5kcXboXloEbz9QoqlHwD
wAT/qCC4OYaiyjk1Q3jG6W7AYDm4BNGmg/ml7kxIulqPtiE8FLLUUJYk0Zz4aJIXq2cnLPZJkt6p
0XivklvL34fl12AW37nHsgdWyx+88Ma2I1QxIqALtG0zimt2++ehdvOTZ/jgM3ul3ynRoGyzpCsX
KefYNipujEb56ufRtWOl5jxPDCzihi6rrbT5LeCJzQ0H2CVx1RzjdSXeJgmMIKGlMwhqFnGN1ThT
Mixd6AMJPECbgbvSPoUZritSs+MF9mTO2F5/CTXcZNIUb85Ie+C/pfW3Inkai/znffYMqPal+ntp
Pf3U952W0ho4AeJUtP2w2D6W1mBcKZIFLiGNAvr7TgvVwOA/qZS6WJVUe3JA/FVaQyDQKIb/3Gjt
f1Zbf0uI+Gt+NjV5bUYOVPEuCD+emU9jR1C2aYrXUz2ZcVdHGygtYKmdIjqGMp4bI60yf3yQwEG0
oo7Xnec+gHOuZokvUYx4a8KRqZgpYXHk+Us9Ky9Wm0EVEfsG2piV9Fu9rxZjszFD5SnzvJ30Vviq
T2roescsqJw5MZTuwlaZPEcVukOLxG+qSAQDDSUP1u8n25A03HQFIGtXP41Zsuk4/i90sz1Tf5B9
BCaF/y72Y9sjpkT4RRQeSAabrq/SDGAKxNcgr967UfviACuF6BORJq71N4nTd3NUW0/doDyUI+SS
nrWG8EwHQ7N7lVrDsFeM6NpSQQD3NEdnPWHhGDv4H2X1bsqGJXuE7tOqC3yc2iLUgmAmpaEtEh+K
+JjpbyJ6pBrxKzjDlSDkE8qgNdm0pF2XC3oKgzE3I2yu6Eghqi5ynQT1stJr90UNDKIUg75E1ZG2
PpCfNNpguygojZVmUqDmSzERDjjpTTIFB1bxMETINtsSOk5Q0gf3uvqCPhVm0RiXlzbTwzW8ngI7
X8xHBaBrVpUGSWdFOPVaIxK6C+sxG0ttxl7dLY3ScGZZVgEza3xz1rtQ+qQrOY3Z3XBB+m3gtw7p
6xEL6mdWtnPRe7AzGsGRlYZMT7epdj6eznVfetSQRoyTq9A4hSi+Ltdq1LxrbuaAzC4auonS2xAn
+toC2KUb7kLBZquYqQVR4wGy5o0hrK8u3eVZw6mKuFkeVVop21g01Twzw/js6F60hKVuQfKnVnWB
JK6NWMcb21bm2vGLr0mvumtzSjYoSiU+22Pm7fjkyE2RXfriTPGZ2hCIjRSYZiqhiFnKUYBORh2V
C9UmCCsplfQ1H3D1ZfDyZtWUhlo7Srnv7KwjoLMp166P5BtXur7Oayte8uUZdDXN94BpKb1pH4e2
oa8rcEb+TAAZRhqU+7PScYxXkdASgQaCtz8JbLz1aGAYZrRL6XWqwl+ZWvCImviVd87blSzqm26M
0nrpY94mzU53+pXbmmX4HsPJIoZU1S6ZCkkLQ1K1r9lCEdDSMSpFfxszW0DDzNAj1d0IvXdxD1HR
m4tRwvBg91hWPmCstnpSvOIhzqbQW8ftln5CodsmJKuFwiYDeAjv1TQ7hySgPw+cowC9eT5SRoet
LEfwMzaXIEUPaoJZn0NCKbZuY3314/a5EXLVeQ4MSFd578Iaal8aPMGK26ETf+yZRK31SiGLPCmn
RcQ98lGQSe6+Z7ynSsNzUSfOrXDMc6H6u5xA7FlaZld4b940y31oY6VfqGV/rsfS2TpluSFH66Ya
3TsGInIp6sSfF025bMMhAKMcDGtdowsVpgg5HSzHnVfNS8e/9mBZzWwPplYT68XeFOMLTR28dam2
CTJ/F9ny5OjMSXqdo4ruOrwpQTlLedhoPsbY5tH4voYOrSYrqsONp7fo8AyGR33hGjsOinD8SPCd
GWby6lZQrxPRpBxvinPWKTc0yLp1GEXBzkPESYsCxm00dA5/En2gQQFFkPesSTLrvEuCvoS2EcLW
Znp5RiElJTsXrXPTX4YycNeCM/h17JX5wtEYO7DCNOsqtCCDmL27zg11WI6h70wohZgVxh7WfTOE
S1kFOgLBxFi6Y2gh9jTfSR8eF5ExblG8nmgB7RM9PODUSpZ6JzQmFHq81EVO5g6Ml5Vvm4LxiwS6
ILJso1m9ObGfZ4Efj8jxAm2t6dNsJeSv9RPeWq0DgROnAHQsP57QgaxSArrnuiNN8mKWrTlRs7xZ
E6rW/2XvPJbkRtIt/Spjdw8aHNrNZmYROiIjMlKrDSyTzIIGHFo8/Xwgi01xWewps17cRW3amkVG
RoaA4xfnO2erxYz14gxnrjLACTTPUovxTP+nSfo/IwUTvcFflzrz6nxBdEbzq905j/yu3GFKT9HC
5pgKahZMfLdJoKFnZw3/wyBfsgT+OliAF2JRgOfW59kBJc2/qh3nAyAR+hCGABiAQen9rbnC5wi7
H6odIrKJmvNsA16WIuqnTULdjrbdJZ526doZETrFvot8Vlipg7Rv5h8Sd9xpMxHBQOpap2hadjMt
0YNN9DM/wVB6P81EhZrZCn2mLIyZtyhn8iICwehBMQqQDKWXp7E199PMaqiZ2iAffuEr8z4A58hm
riNo0pvhc2gzyIcD+oGOqSbvR7+WMxXSe2iCq7giU8L9Y7CcYRP36jYz4ntXkO4yJRNMucZULpPl
k9WSORIJtcoSrd/EDCZWDAo2uBm34H/Vtk809oQ+m8O6zQ54E/XRyvZZsE5olbWVP1gvKu208Zo7
uddtcBrpsd8p6qa4a8tYV6wNhIWsVhmUA73cKIHPTleP2RrrPhftp7nubJaBCeRpGxP6JvOUlgR7
4laPPzWu+84NlYCgyGPD3lym3b1Rk03CGkcuKRLQ0I7FrTsI4mEz4yVGfc4RihQXXS92wEV34fh1
fSj1/I2OOKZ7SkNyyUkDZzvuZJZxXSYBQw9OmFU/Jnd6yILApfbDC1VfsRR4yq3igRtqcVbTUBz1
PBqXmivXuctGKFD7PC3QNdTbDMIlle5hsP0n6nam1ok54noQb5g16XvRMnAOed2IuQfoHQfhqJ5O
5pLf55E9aXToIlTIircPmxBfm4mm7Iyw546JDbscluhkabgX1mdJfTOr65PPQnsSuhHdi947TcBA
es0ER3cIDI9njX6l9NvZC8af1fsTVkolcn4N4KCsnWs7dvcQbdukw0Jw1v93gACNl50HCfY2GFgC
gQpYpG/UPZxUbLdgYvGjDVPgFuG2hzHIZthAQh0M0AcKCqGCRqigEqJG7MSMKcQzsODM6MIEwzB0
PTCDAGsY4BucGXTgI2cw0MbvMbfOruJ308bAXpszIOFASgwTd3LICdwsWUuBUjRteppgK7IZshhn
3MLUrNuo7d9yrV5n9V3VEjbOrP06gNNQ3KZyNR2g5B50Gff4ncCUQXZEY0ypQslPEs1LNsMfmsvd
cMZBTLiQcAZExIyKlDAj0hfFWicOYnImNnjdGZvlRwPKpKi1VQF1Ynj2G5EjUHUzjxKE5x4+paz6
Ywivks7gim6Mm3JGWSKoFR+2Jc5yzBkpbuDi37oZfzF7/yhnIMaEjElT/hmkTN+AzPRVtvdgaLrZ
/mWGaoYBvMadQZvkM3ODKnhcOp9JnFCfqRzNCZ5jOJ3cjsnMm8kdBjRgSc+kJbEk6tagbtvY9F4a
iJ+stTTCVJoVa7dlAxNUBeqJqSAVbQZB2FsEHMAPeaLEJmVGiqrKfIpgjNi6Y6oEdFR41rUJhQTX
eW3MWNI4dSd7BpUGiCU/p4iC/d+FsEyRlzzGRnLE8evexYFpkWJs2kA/GSo9hVQCid4+Jpl1W82Y
VAYvZWXz8rUigcw4DzNQFYyiXRAvs0sNQhhgrviSHIoZwgqhsWpf35CYhUl12z1lRoltHVLvDoKr
gORCh3FBWNisqNH25MHsdJivpir3GQxYjy+TnJLjIBuciafrpksa1BrlyYQeGxRfWS8DKa7Tex++
LMFezirtfQN3VlvqQB+zF2b40MGl2fBpWJaklK7+prMRpkOwJZBsYkbaJtg236iOI6xbPkNvNfRb
WCQXhOS8DFBxMg2Q9YyshYtSX8aQc1YXbXJIOnDOiwiy7p8xzOcxjPXbdcdtkb7+ylxyftS/6hLx
YaaFmcFg+mH/WJcYH2gcPZP8AqQHn30nv9Yl3of5n9qAz2gvUcn/sPBgYOPqM3ZMRUNawd8pTIT3
o+bus8RhzvZBRmHYCPJ1fvXvFXCWl8WV1Rrj2WuC6sqNx+yG27n7hOu8cRj7hPgh0bgbr+n0Uz8q
n5zhLlwJu2MWLPvmNtSLdDtNIJiOLPy1qzXVOo/KcM0O8zJNQ3nqTOEfbQa01+bQ8PgO6eOqnRoY
sEINO82Th8GgpqibEKdwZSYfIy6PbZz3PkTVhGO/qoeXLAyDA3oySFiinVZGrnOT9TwFZzo+SANo
MTVfRz9zD60jvE1DwsJFnuC2VxU41yHZ8JcDhnUIDAkrjxIsCR0SFxCxsX4x5q4TT96FjgGkgaNh
/K7YdlrXTZ6tymkK/nBj9RwOgQ871HEEq0NcTBLsJk/2xiTxCqYsvQpE8KQnIztIs9pYKmdXVOrr
SG+0beME02EKWvPA+t5dp2Z6IbDU3SOmkyvCeaxtkubWukPCsXME+/fIDpJDmSlKt6K7nqo4X6iU
0Wqr2cxdbRuiyaMEDORlbDKu6kbeHY3Mk5uoxzo6i4Q410xmVqPbKzwD60NrxC+lchk1p3hcIvmL
1yLg0AlKYtjY0YZrrRfVKtUSfeM7YhdbGnoQdg6DjWtkk+CTNrXqFe12fBoa611L2EzgYFMsMhu3
u56yC/ngrWO615nL6ZMMw9bo0gcj7hsJvYlvWGWk564UV4UBYhbU7PvNaK80fTuwrVmADa19xfM4
DiE/aWcFJyyS8XjLs4vaFO+2XbQbBnW3XUjoYs1wZF7+W4ss089uIHd5Vmw70z7GgzwprPBCgZZv
SgMmUr7DZiveTEF0zqYI11PMDiXMOgZv48kmglEl2j3hmDB3g0XF1/I3rf+SGdWb2YtyJUPvIxP8
LSuZe3z6EeD7CjRb1eDYOcfsZZnYBdI0FnkfLW+qlsIENN/4xXCUPVaca5fhylE4ZdUu2jEtDkpC
+7sMCI4BbNn+n8P4y0ycxu3fNYpV/lp9+qXj76z9/XooC+uDMOeWb3bk+tzc/atZFO4Hj7G4Y+mz
9OsHobXN39AR4kqPW/OPW2jzAwmt8zFq4+OMhPlvdYtgCj9todmM03Q6rk2ryD3gZ6m1JCBU4QUc
XmqJZ+C7njVrj8SPvdPhqtNVJnf2pmyw3nJGzXWXiCpspp99Wcf3+Dqgm5ow5bzMK8NakbQYkM7o
uHp3DddbjK8tQqw5fXIop9YgW7OLDcoZ0/PMYUUUGxKmxBXltGe6WwX1tlFaGt56TcNBbON2vsg1
7iKLKZjiu6ygobIQbRjLlJTU21Bgb7Uw4jjcKEJUp4I96G4MI65nu3UfctExP6Zy7h4UKpZhYdpq
GpdWjgR7qdVlDnGmvCsz6dSzmZXxs2YrZMES49mF6FL/7Ooi8BapF0enqUaUtsz8KQuWXuT4S1kY
+zzQsyWjoBbYy80uXSfvbjLDAffEitiCes+7Xav5NhE6pfdiMCebkLDJYqJ1aJ1h4XqR7SJWTt0b
TRAQuZyaLNqllTt9zAzNhLC3kDUvR52OhOAXacfcEFln4lngdWaztSs+kBp9sdY9w38LwfyXUboV
Y6ubr5m++5OzpmCbZrFdb06T3MmAUSl2olWwdfVmuq6rLn4xZV5fS7d2N3HqCBbttRXeZb26lCbS
1qtC4928yrWgY0Ffz8KwwC/aco93f8tAMDLi5yStjbtBIq+hT51Tavtcj9Kd/jnAVvPmMNuSVno4
ZG5k9e+ICYJ3iTRjC9Pvw+yHhOVGc25urZGgm2kgW4kX1U+hKVR1nqXX9AvNFxDlnxHXHP75+5Nr
Fb0Hv5pw8cB/HVrOTIcwU4bnQD0zq16/Trg4tNjLzcyWzTbts6rmayVpfqDGm2df34ZfXxd6ICXY
5GCwgysUxmd/89D6iaXgV+KHUa9SyrJCpELlvP2+koy46mv06+YJQo/5tp2UTdAsW8dODlnElxdJ
aze5LIdwxjBwVMgJJG4LfxWEOU14G7uvSUhqQlMSO1W+xG4qxBU6T+w44w4VyqLucnnO2MofArNN
oz0ae+MO83TN3otar7SFlFpzznzTPySjozdrI0licRu5SPMuOK7S+qPMA6iCylTktTEb23ZkSr1T
/LCay6OWmZHltUQ9xZ7YyNKLupumHJu9lRqMhaYpTKa1r48tQk4XQYlbhvqF0Ur/oipLlOU5hjvr
cMBouSqrZt3qY3RhNyMBT/6kaDjx5X1t6xzdjFX6iHtpC6ZlkoftVWggVhnzFxj4j7FDKw/bli2V
Y7+rJnunrhZYq2el9Ql7GPw4ULeUQb+H/7A3TaK1GHkFzqIz9Cha9gmJquxKWFAwHHgUWoS3TtL7
H4cIe4bazI19qPnhkXyybJeIyr10y3bYT0qVWwsyb1l1XNZZkrN/8dgNMaKHpO/8Ex+uWjmNh49s
7a+8JrvwWvQatl+5J2ab0z6x2G0R2M24T4ZbN0L6UAUGG6zRi5dF3eY4UyQr5cl3YrC0rddNu1TQ
mRN9sB39HmOPOksWgV+xRbCGJws33lXST4S3kqNdCIm0oRmWTViBYNBI4CbNjkimcyYVGB3CRmWc
9SBJwGFs84bEjfw91q3qkJVR/hh3GCMTkIqncRd/yTP859Qyf9/8MpjfVK/5x6j++KuT6/se2EDK
D1wIIO064rN87+vJZZgzosY82yHJD90BKoWvJxdpfYZ0LV1+e9TXk8v9wGge1o0m+D/CtXFiUbPh
yGmCWP/UAduprnuxX03nqXksPR8FzZ/3tb8koOef8G34P7vnWvwM3JFIkKCao2X/4WSclO+oQZm0
ZIOGW/2GHBjWt1gPfwFN/vJ55p/zu+fh5vH9CYw9tSqryEZSgfxcVMfe/fTdfYn5FVkK+ffYPvzE
75/hpzVGwEqcUBleiTG4i866d9mIgiJL7SzbDuMcgnC7Z9Xu2uiqIcNORO+UggHG6AW99G3AILjB
ht8O1h6e3oF13ca3fRZixpz9m7divhv+9r3gi/X9e2FGmo818vxemGgMkS+qx5YM6kJY5x4zGXLS
FtH4h6shOuH/ek70RZn0l5+FOz/Bzx8GjsIzlKnjhm38pG8hdVYwM3HHMycOGlEhq/SYwBOzOFUz
ASdjPcfcyfMO1VATn9jfiLR3qNOKYNnp2rSsQBIWhmp1XFoC/dDLhg1/mhGGaB56X6+Z8GmxuB/M
LN6aiYw9luTNIieOqnKqvWIJgevNRjQjk/lxG07nziFeKqBxLbVF60zbapBXmXGFu8PGxwkIuWlQ
39WBdzLx5a5IhehgzQ0CsAjIgW1gDxorYujvCsVa32E5OpUVb6Ig26k9unq27tVuLJ/qGDcr/HTL
Pr8QjXUdx6eYXJ4OtPw+s9OFMidzXci7xpphNZu7O5tUOwosTAFKb6V7LHqLJH1uQPazDL2itAnX
wnP+SyjOX35Cn0nzb5/QPPpC2P3twrd+ulz6SNZxM9TTWd+aO38/HZtHc4t30bleiGOz4z6+9lZy
OW7M5YH7yKZYDc/aPtk0W33rnKJNfPr91TVfPN9+n/9+TLDd/P4ra6Vp62bzV7ZI9oQ+5f2qqhcA
NPqXMvsvX/ivvpnfH0c/HXhelE1pyGbhrOWL9G74VM5pE0u0Q3RRv39Fn3NOf35J318Ec6P7HV8r
ef2VKSPjHLLZvMJHC+UnUX59TTO0DM5wE79/wl+dgKjK6Z49SW8vf/pIM3Rfrktq9rknxjif3jrt
6vdP8KsD8Psn+Om9Y39HDxkYxplc+Fkn1mtLVn3/5lX8uyf56ZSVg3QmLHSNs+wupvLQOHeG8/L7
1/GrW9L3r+On43HkXl2R7mKcsUFlMIqWy7mR8aUMhy+v5T9dHZ2ij1VRF380/3v+yR8LNVZREDb/
98c/1l/+HLwXq9fm9Yc/EILBkuq6fa/Gm/e6TXnolwti/pf/v3/5J6t4R7DF//mv109YcbM7b6ro
Y2PQh/3EMc604O+bukNBskf0i5TE+aFf2zpDh2BgxO84hven4vJfxRG7A7B+xlB03hbKhW/FESmJ
zMQMl9nQ17XCt+LIIqfsyw9DXvk3ZZrzofPtCuaQpMiC14DKt8wZxvzpNoarfUa80FidR61zWEsb
reC2lOdevHcYapwji6MwdMNLx662jDfs6xJ4iPGQfmP61k1Ste+FTvc2DCFOht1F6IpNZ7ZHNM5L
rcP7LBdHLxdozcErO2uAoTSPOoFuC7PNLg3L2/jItOtQ2xSjdk0Q/L075o82DYDnl7QSHvZ7jITG
fJ+0xSrUtFmzY+5tL3zArm+pWfr1mKSXLY6bWBpeDm6HRsAZWMVNjGsEXqjBvY05nMYrWqdV/yaj
5uSjSkO9/mIG9IhNc8h9Z9OY8qKzyks/DC9lgdhtgngI1SWD9YVZ4Dw6GI+EYe5CHAPlOC4YkJ9j
EZMQLtZdC7NYT6tQ755lVF+FYXsK+nHZIUG0sO7CM/GyMhBXyT/qShrrDD8vXBjbwyS9V580FfCK
RxjmvVbLVWfXN2EwoTuKV5maFo6qbseaeGN/iM6B7e4SFzPO2Lm362w3jfVN5jVvuTFcal5+Gfrl
sXOyHeE8h6wad21JHEug5gXHJUUM+w25NwPrxg1dOFQCbxo3R0aW9qekxdFOjGxM/eTVLKwbqZxl
GPnjgtvWudWaY2Bkqyno9hURKNjf3cRy2Avdf7CyEfGJuXYIJl6U2Mj5s2Fh6Ovlcl6ORl5KvlZf
4qk5AsIUkfPqdmhVVDlsPWVDuwyKbTnNaNYPb2QVywDSkBnBuh5lT0tee1W8i2Ue7puiquKzNU0D
zrc4/JlbMgSijSSId9UN9R4PNn1blG0KVaBukqJRh5wUomVd4k8nUmGe8CrrVt0o4kU6gEAyMCAl
0pziG0MY28QARkcysItzQANS44jmiQSpkCRXL0XekuCj3HLdeHq8bKF2dtjA2qvaGW8jayxXUGvD
wjedZDO1xIhQRqF2Dep7D+ZonTgUbHFKQqLHQmKK/+htH5sxzbjToAkKz1wBGJ8nw95YFYRInfR0
x+grUv89mqwT2rVHDYFBfKrahuC00ULXqphSmE6wjrLi2iiyh54AuZXqarB6ZE9LFtv4OSrrLcBY
d6FXOWkbNXJ/st8A5+eEyCHGnwB3ts5qs2XXEbaTGN57oORLPhr3GGi/8/ujQi30ejmOJjyCYuGP
hE6t7DwG+UkotTsldiqtVqYXnbswO3hZ/2AN4x+tqx9i6R2sIow2g4YJZhA+RBM2eFlaXjISKDdZ
x0zBaDXnVKQ+5lchfvIyqddG2JFlZ5GViVH3Ux+TOlaX2SetYCeGaelswhjkmzgZ9r6WbmMdRYGc
OiTcuAJjYHeOdPcNAd/bYGGpUw0Z31vXYRHI/t4N013gMU0ySrxIFQLB0jS2fmE8NVhNzoFry7K2
97gN1BTR0dMYQCxLzWJpWWYrB/04gchvWlutasMZl4PPliz3H82AePGR2KPJaPWlhdmh2WrG0mpY
CU2VugvR66z0mGwQvIDnBZP/ZCIvRrjlu3y/zE05Ww5K2XOJRsm4LAouy6r3sL8zzT8yHdy384MZ
baYkTyJSQrNyj6uow+/WHUAyz0OGMpQdHgJTc9+HOrBl95Dr+qHpPVxyNUngmjbOlM1wTEL9tg+a
CzsP78ToEssX43Jbxd3Cs3pz5QzaMWo9QZxecl+FACkRCqNVCgvV3oZhkm+qvg7CpVYQOt8BVS81
siH2VoMUk8XeItc9bYsJMjrxXEWLvM6KzdAaYPIjY7maSZEY0uuooF/7fAv+Txcj2/fi8jV7r38s
Pv4n1yKzy9Vf1yJ3bQEwkr//9xpmftzXQkTIWfJI/oVjYAMHFvJtvkyNgrQSDQOOZ5Qhc9bl1ymN
94ERMioFEojwlmFf9U1CyZSG/4CwgRmNlGQp/B2lwpeMim+VyJ/tEYs3MadzUN//1EsIxOWZVmTZ
eSJ1HMXFwupQ5A/kkU/QaahkiCiHHTlZc2g5k++d3opthG142Gro7OIVF891jiViS+p5X6vXpLWe
CYliBtuchkkcA2ntphDoP5mD00M3eMaA57qbI9UdstUlJdwSzA3En9Tx5ST69CKbw9jTBC7FmwPa
C5La2y+R7dmVN4e4yznOfXK1ZSUTwuPtjekL+EjkgHMAvJLxUy/IzCzIhseCoF0ZLc4yyRwc3zrF
J4z/4oU9hA1nNfHyUUfQvD16x4bkeZMEenMc3kdrOnFiv6Uk1PdjVyDdC7YF2fWOPUNspNnbpNqn
c7y9DO17kyBJ9nIvfehs6o5pfIUQYdFL78qSFYY0FC19chn38UZpwl+2dh9hxQ3oKCrtUcIZLopJ
rXQ7PoYV6Mykxgs0/M0eNxakTckkNqTUE5kYy5fBza6wRcci2ysuVXmtF+YmS6L16Ioz5n2b1hxu
RvwKkLRjYk/KtClwpk61p87ycXLVN04L+icR/e3MNHuLxvYetQDqBlL6FmKIL8eOtw6l6bU++MOq
hld/KK29M9bMQRoPaYJZut1loFND9mjoM9shKa7tCFIkPwxzbALt6nTVlPlDy6/ho/RYJpE2LKy+
2NoRqGflEZCojxdlx+cQxxo3eN1LV8XogbyN5k3kFRd9739ingMp4jh3VuHcaFTtS7TxR5kxAmtt
N1yGqkwXURXeaLa/t+PGwhoKG+ChjO8YhH30dIwz/Ow6C5NPJDU/BJKTnxCDfhnwonbKF+QhY+aB
FmQIlq5hbEwLQ43I9VESRwneN+1qYoRmT8lWx9szMZC/5y0Rk0bdvnu2rVaWw/1Hd9VTAUkjhUpn
aSEQQooPLrGVSJEHgdFOXQ2URq5YTMNYLFg9qhOuAffllNz4qvWWlh7DVEaaQLzvkXHY5i3uC8WF
jjfRUYCktl79FDnuEYuvm7wroqUbscrQxDRtsxwtYQ43tJFjzjfTNF5UXt56HR+83ZMUYk+Xeut/
8jtNrMzOpsD0btre3/VmDq/q+3s30YA5+NIzr/M2w4TKt4K0QQaT1AvVQyTFJdWcNo2vgTnBdNQ4
Oqe8o4tGqw5Np630BLHrSGkr0iw6IxYng8vI1iOZaTHuS/PtKphegSVfm865C4buLkkFQwvvin4F
m6CAoh8IjIo/0h5GjwFKk7rrcGo24dg5BzYMBPoJ1CytTf2Ua+Mrn+t4IOh1jY+9hdwSWypDs96N
ocYYRDth1Av7TALoGqnTazFFu1E19hJLl5GPi8X52LvuYqwKskbL/jZz+4L6oyGHEO3PrDjh9+nS
fNW3fAP5738YKSzaaKf+AhgKn/hUuylb/b3O+EpYThYdCte9V1V5WadoHNHFvyuFgAbxNpl3zgLz
bWud90hsHVKF0fVWR1+g0MlJmGVb7l0AveWLJOfb1Db5s5VhmVFonMFB5KFZ79jeMGXe+cjGd4XA
nMSJoPI4Gq0k2pTUPEvETqepCc91amYLel80SpF528cZGfVWcVXW+hZF2h0O0zjbiFv8fo1lMaEF
1gv3lbTQg3LCg8GLW/WRjmOM3t6jsxVLH7MZALUuRqbAl5pY8efOmZ6rprwJayvYBUTsEEXczs0V
fF/T3ioPPX2V8PmaWrHyzKpf9u48l86qt7hKOSoo0kN55qDbBiWpA4ZV31GXPiRG81iVlORp0j5a
ctJ3wujFStcNMu7ruFtFHmFiY4iitAhKGiRhgtbFtzmhp6wCi5WfiOc+QZYh05htgMShXsLAmcpB
Dm08dM51Xx8m/6mPLqzQvM7jcsGg+SHWsvvIzPho8maL/PnSUMiOVCpqYiecd8FBvxYMdXGW59Im
eJ00Whpp15kiHLeiFmsCgkpkf6xVetNJY+ei/iDcCOxmFLd0VhdhQSAvte2j21AK6mVzKJvLzsHt
3UYrH7jBlYWR2irFx4dokwq3ryrCR2XapmkVHzGPF5tJq05ydLVNh9HMBrl6vJiECYeugOtsf54S
BwfW2AzOHBBPJKqBxAu7NY2dNRTvTCfDU583EFyQgbb7GEMtb6smQsHelNN4KUI9WoY1n7OLFRy1
eoN7PsGdnF8Hv5nkWZhVcdYnbdqRA2Ht0fJeplXoea+tNY7baUA/HypvZvxQ18sy2GS2OBnK3nMa
HRyfrw5uuQQ9atNKqyzzAUcGToiuJP+51nZhaV1aVh3s8lB/N0f93R+DN245cKPhQHqrtso8d2Wg
ojNJU1mgXCtWOKqwf8XOwA7CraHD0zc+43OW0U/hQI4ECst43SPBK7EOxMl/2jidNmczOBcBb7Z6
a/SDsPybxHd3mtYbdGfu2VSDz9w2E8sk1e95+7mLi/RdDfGhg8Te0D5fVzUBmV6NO63pYto06ESC
VDoeMdi/gzf2T3kzVIz/bm1rXDmpfQ/ScTWWMRK5Kdn3FrnJUXrVcZ0sakYeolFo962PHK5XRDvk
S0wJUKQ75Q2ox4YDDkDKoqGRor7MQwzKXbwccgdJpYyzsyvxWEv8kEZPJuO6Ghq+D32Qkq0wASE6
qO8H2j3l4N8TFcbrVAObp33PLjnmcCZthyL3qarUcXBTd1lk2lpErKl7D1uIeNP1xg1WTxdcuTvX
wJqv7MN7NdWYD0bpqRfcahNxjPzmgrzHR1uJp95PZu7PfayN4VQwGWIYJEEdWaOxcwgespFVO7nr
+yk6VFZ1GoJgo3ojWbWRh60FO31Hc+5b1Z2mAZ4yj95SCzOnRKR87OOxw/98hzq1wdPIOWUCLy4n
4yDUwq1uR7jl2RYBEcax16eLtjJNTAiRDjrYG8Z9ll2Zvj6B6njaQsMbfgXKiUqplWrZs0Qilicf
l6qG0EdvuKsto1hVevzm9tQw3tBeuao2CdQGiQ5kXR+zEpvJ0uwvUnzvOJR89Ka+tpVZH1Nz+g0X
l00KgXXnNNrBgbXbOmGxl1RbSLeUCXU3ddL5M2jrn3ZsbpD+uh2bkbZjG9X/6/wW1epXu3Me/l1X
hnYYSztp6J705t3xd+NhE59YBsFSJ8R0bti+dmXkXUke4/EXHoohyaO+joetDwRh8TAGx39qhb5O
yq++dFsM2f9ylfTjvmWeDuO+w/9YBj8PMOSnnqwyTLtGKhmcccpHk0vG+b/Lg8WD/IcJ9Gy07ZmU
RTaeQWgIPksEvt8hZaLQpUrH4ZIomz1yGbkZSBKoNm42nAYTVpeAy7HeMk4gqQEvUs6KxrNvDfKq
uKs30jm5lSvrfR745amtNK/E8Mt0ypPjaAT+WrB5wUpXAqKt7nXqtF5Xu4RA+jVW+JQ+6CS3FfEe
656A3C3jDgaPRc/O1VFA2p1zFbv5HLGakTdfBNU20oIUS/+qiLVtnmFHfptXU/hHhuxxY34x0/cA
vNfyi8m+TPnTWigLti60Mt28bT678nN+l9cNRGsVEX4+acJeaEP4ZCpxEQ4h5VBK35aQimN25RaC
79gjfF+4jXbZht2DnZh3paxvKyJSgrx7cDgwqJrLYpFE1rGsrHVglUeiaPaCBEKSi9oIRahzwS1k
wcjfow4ucIKjRNEZ4U3FeIACelZxTExP6s7OLeW5ipx4x9j12A76W+gk40WoTJekck4qLxWA1tiA
jFKuRzi2RcMakAqP8qUZBnuL98N0UY7qouMcGrJk12iYHmWpXa0ic8K0SK3LPjpliHnWvkm0FbN2
OINq71fRTWiXjPVym7JTS5g302cFtdjn9YDvUJjdFlVzEZoQudqoOx/HjnN+rIJ+ib3UZlB8VQcR
4fOKrJSZOCHG/n5Q5am3CFMTRIovEnROtudx/w5ie7450koOFhlGOSZiuS+xWfAtJEhjcyq5VS9B
K/fErYzbItXfLaf9JIif2cLWZTTHpBUuwsSOrlXuZQBQVmTjVAOb4wrtIJGobWtP/5ho4X5ytMtG
uPcN+qg09B0MiSuG5d48sTji03fd5Ziixdg9VP56DnfInD7ZEZq09frGWJUmbzz3s12td49iNkdS
OAW5Ur4gBz4VOoE2UTUcELxcTfzQToBuYSU3WWLbKu3VqMW7pg37wpqOpq/tpPsw+C+FNx1IbvE2
dkyMtmvTCwpIxOGtowlvG6+BKUyOtjFeBX4slqaRwIMn8hlzu2cTwnZV9eIorTzgvnUuw92YWfTD
Ewi6PZUbN9TuvKG+t5JuPQTsh+2QErOD9sRvAt1pR7IX23DaBIxvOvGgtPDO87J7TZHOnuOww+rC
cIdDKbXDMOhYXcTOATHeNnVSJp1uvaKHADxsrebG6uMDr+/CjvUXGhEKNhMdDql04cYwVXyZWUOy
G7TMeC56z32qvSKiNhpH/z5r/ORm8N2aLVYqMKfwKywVm3BVanMiUgr1TZInLkWGpq96Lotjp+zo
srUmcNq06vx62SpnvsIwCigWpZwn9KXvvU0OSSQhlb3GsHjd1Q7bJXABrE0w5bVkzZfZnOGONr2g
2QyWgWHfNDq2z2bZl6ugU95CiPiCrJzbTCW0v32hmLfXeBRK68lxiEdzulXZUsq6Q50fPBZNJ18B
qQ4TFWDiFG8WAa1YP44hlxxIrGXf6YHC9Skek20wBsc4E9NiTPxr8kne2kEuY5xIvBjjU1/Tb3E1
fDZN9VK3CWrveNfFzR9u1Z9TG1FJ4GMfhUnjsxG3TIXcFzZ4CwYExsISqAP9PkYOVOfw/tCctW+v
xpFZE/10XBqfMqcZWAEB6ufdc4dnh201pMdF7QtF/UZVfMwJHmW++yjy+sFu2QmKIlvIIb4d0vGY
y37XlEC6Wh8/BuG4j3ou0WE4df7/Y++8dhtJtnT9Ko25TyG9uZgBhl6G8mpJdZNgSar03ufTzxcy
3VKJ1bPrUMDwAJv7YqNLUpCMjIi1Yq3fJEsv4ZYnx+ZlXY9nRmXe975xmoX61Nbb207wNzq8WCys
HVudZlOPLhhPY56a0bexEP7QobkEuULxMaZzWNvBoVf1YD81jJZDw7xSRp5aFUMq9lLrGuHQo1oz
6yk28/dEAhpooDskJGWpz9erLPRujaGANyqXKyPR5iIXp+mCPxvfPvGtE4wBV2XkHVFXuHfyduaO
2TS3ozPNQEQzAS5ZuYiGq9FGsqUZ9bpVg2PdpGjcjVxHR8z1LBh79CNV50hvhosql/mYenUUyhLi
y+Y3F15hyz1Rr9srF59BWOzjokJzZZIE/rms9z9cuTPoHaTfZD0EdjQGa8eIl4VbXCcpmt1Rmq1a
ry1WtpMMJ4qioUej4hUXfDNdakMl9RJVzepFmsjKJNP17hxCvj+xMf2bR3Z5l8q+t5Bk+0xG+wME
VFEcV4rlAfbskwWiNw8UBSFiyZ501+Um6wW+wHxA3mGi6UH82HM5nKla4qPtNqjrzq9+01FbWJjo
eGmbZCGIaHzyVFciQ0GHy5VOwxDTsT8j57tuLN+lgK+Z1Xto3U+Yj09vITKtd0iZgVVsRg1vIVMw
MGmo5meYa//ze/wE+nh9D1MGF4N9qSGEF96/h6o2Q9I5gXcmd0R5C8AjJk3XFIT/+W0+UgpFwoZW
I0kr9xBTFSSaj2/jZeGgWVHrnTVQjQvagBVGZVJx0+jnHWp7ZkUfyngxLvn3VcIgHf71VeK6DJDG
GLY0dviztyuECs+Uto2CBgYA1I9KYNrB86IW6H/Runm9P+jKAVm7Y1kKzxCGgP3u/uBgvgv91Ka9
DTYE7O7vdHUg6HzI7rlBgI10uKeoGPeKLP+ndY/5Y28WRZWcp6TA+rpSG/LNoQnkBMGGoVMdYi6U
UZxN84eiTb6N2egveym9orzlTzTr+9ACu88bb1Wi61fkASVZGyZfo1uncq0UtB5p90M0RQkpc9qZ
4Q3Ee6LxBI7+qSS5kWhs14S17Kwa6kdJsA8Np3vUcymb+9TXGry+YKgHx70OBhKnlLWUF+elnBmz
zNdG+qjEWASOKLQNJT1oIUrZlMKJcjEmEWLRqv1d6umLdDX5ee+tLKs+TceINDMSYmZFd9/Z0k1c
D/E0jJQrzajvPFggS2pkaHZqmnnm4Xk+1xWnpq4clVSwvY2FgtSyMlC5tWHWomFzluk0GfxRveIa
VUz8JrjoVfkokY0nvU6WVDc3lU49UR2iaYlzXY//QOnU/LazSuTyroGMmfWo+KeRd5dV5p0Twn7E
tUzXHirHeSjV6qwcg1sj6x8iaMOcuBQoKEueS3xYiq7dKvEDyic1BeJRQtR8iIIrpHtOSS5PR61w
hRcZDjMq6kAGVpmHoVIVE0OhEdLJ+rlk0E8rhDKYIflw2nrlOPRNb4nkmLkoPMj91LHndtXfmJV0
pHZgT1EAPrIzsnTZSc7yQQerGRUAOPNUXQ51B8cgpCwSNP40R094GVl+iX9l0s7N1u3nRqPK9AH4
qTWoaBZ0f7q2BfWpOTflBpMTXJehORXLUk+n3DhttIth+8LLnfR1RzGwGzmo5fIwkYwSVTcJuz5D
c6cdoiHwCk99HgW/SSlZKi9BFpx3nnzohRZ2vWpI+gAYttZXjkJkjkbzpqZ+Jyfen1VWP8Ekl6bR
qCIK3tDUbAvHX9jNeEcdOJ95an7kWvmt1CBpFlfdjeQAJuFP4dtxJZxrbXQ1SCpKISqa8oqCDGiF
ZUKQ5Wt9cM4iHYRGPfTQnLOOm1vbzXubfqTVQaSTwtJG4iJAYUSoxte03yKt7De1m4czucrdmVZC
hdGi8LaJZlYc3Gi1uDA6gTVnr810vUVNubbqZVoBKUFzLl/1iuriVYUnad6tUQvF4iNEz2mUpAtu
7P58SAuyUzU5DVLqfUhy0+dEL2Hae+Oh22ebqC+QydXkK107woQzkkkdJa+8zKxqTisIm2Lfmtuo
rIBe+0HRg66qpf8oR/neqZwTIt1pPgxXKo3vCf0gf25Sp50MCV2BptrEOtDwYDiE60du5Ih+Elde
1l6I2qmOBtfwQ63Kb57UHHdZfRHn0pqqbrRAVmyG6Otac9p+qsgItSFCoyJchdJo4/jttKzrH7mU
JMCIOnUW99YmKMpvwJFlKqlSNFEzlILhY5pHNRJXsAEkm06VfsepW0zMAeBvG5sPNUKNuHyoAb0F
+xjDxX7pVQ3J9NgeUUJGcrP0Lk2/34TwxSe4iqNFUVTxPPdqZVrpxcpMqDP6wShSqauaBrPgrM/j
HvtqIE/oe6RGyabL2BK2uY7LIJxnvXuaxdiK6o3bY2bgXaEreJblzpXj6iutH1BOTAUbZ4jpCean
HqSABXXK+A7QR4DwTHsiyZYKxVJsbCO8hUxLPbntaMo7HZg51f/epxk6iXpA0TY94kC/HPSsXRVA
DUHNNBe5jsBeYBhA3Wx7Sb0fRHyl6YhhZNdYGhxxNdanUREDC2wvAkOHzw7m3A2QXrWyUpmnXszf
tu2VYYb2akyb7xWW1BMnL1GTTFUfef2CS/so/XB0hXjhl8HSdqSLdMi+mxp7u4gtep0JPQosYCjU
u2NKXoa+WZkVd3Bc3WltkzAnAx0zDYQ8HrKyUH9Xl0aeyosQzv8iFvclJ7iFJk6Pzk0XAwILE5R2
aFlXCSbsGpeEusciBuwEc0rT5hDZGgihOvh5oFlsGtDyjd7e+EN00RETp3UIwCkwaDZAeaK1SXmD
C5VFRTrk3+wYaddcGkGG6eEaCH7GHcuiiSx3VEIiAIHwAEB5PRqZcY5U01MPxxWyVchNEXp+V1JQ
Mpv0hNyxQKdqRDhXhhNrpStqf4d1nJdTfVAbUnY5u8M6JT6sRiwsVDY+Wmm3Evg0MLqPXREvsEG9
IdjLx3TYuXnYzmFF2gkp7Bp9lBWujN0EiZUe6CCNzUHvVq6hwQ8DxJi1OuAlPGFmqmU9BH1GQ4Xq
27TI8nExZPal4ibF3MCHF3x3n87zHMZxGzfuoVwOG1NiMdR+qy6iyL7uUwtqhysdBZ63KbGr8qiy
ADfIwQBm/L2Vn2cRGSkYDW9Oge0BT3N9AUjuXpfpnYaFeS435p+Zbi7dXFg+eNqPUO4szlgUZFS1
ROWiT/HZtig21GYlnBIGll8IX08JBvwDRuXeRI/Yofs5HynxTUqJU9sfkBHl0ttNTSncyKm6BrHl
T+vADadFmx8HLar2QMOWwwiMr9Fw9W3kaBV6EOACm9uUXEOsK1R0rjPaHXPTsR99D+AC5qnlooVc
TnekbWdAF6ZZNIpT1bxNIKRMcIA1pkkhXUOjuykdrnhp4EyzLj5pKgqMXmPXYA4yVBt1/6rGZIBa
RH3YAHabJrJzo6fNuRcjnaVVdTdPcgmQocl+0tp60XtSTN8rPZTInAQHXKZTjjW8l5z3gOY8ZosQ
ggWQKXeYfQRPHSQlKTd/mLJ0LeF0O7MSWjBUNH9YFZwgNVYf2qE8dojkWOwaDxVqnnC+0eDylCM3
xWkVTJ8+7c3o1kuQ5C569JPtxpzSJqX28B2X1xMSAxQVdSmbKE14lAvAb96E4akaoKBDFXRi29G9
B80cbGl4rZT4OOWNdGkliFOrqOzoTnfbC5y/6Y8UK/IsnRe15k0HA151EhV8HZ0SgN1RUM0yHeOG
7Ny2KRdGVhFP2Xc/0FzB4aKz+rkXaQu5be7ylq3rl8pF7KUlVnvaWjMDmkQG0Iomyq/MgGdkYNRH
etlzTpfpGj11MHWmfqTY9UOYDNUUxabbovc5gxr5ZoyDo36Ir1Wda3JHnSez5O9ti5aX3YG0cGoA
wSDETvKqXKRyb2NcAwbUoQ7Aqg2fHHJjvzVpvfXp05iUoI4RuPTK8VBV0zuab7PaCm/yFr+RiizP
ijj6aIOCUHbQyczigA/ZWEu5L3+YPimdlfXQ98n5WgqCQRzeNVZ66CIHCTJw49rR97BuznS9gBZc
KzMv6XFOxgYEhUvoQ9Zl7yvz3kCdwy2yq75yVrmOk6MhUQAIEdTUpkOgAHHQKLigzwtQ9aTss8Mm
yKcx8uygCEOFXpdnqdFFnI7m3QCi2D4tJPT3LvCGpIAy2CbAplz69x30xbFJGPH9+g56VW/SoIrh
Ln++hoq//OsaKh8IjidGuX+ZOLzrZOn8CDS/8SzHAdvirZNlH8ioaqiQ1ME1QdHkR2+dLNwNhdiG
KM1g9oEj1O/cRLnV/nwTpVOGya7NzZb2mC7z0d9XRyieaVHZx9lZM2Asv0YVwwhPFRBP6ryuEyR7
g6Ktp3QoTg3uf41vP+iej9e6mly3CgY+aCueFGp5j7vbUVyll0ESzGqJJF4L3TUgrHXeZ8i+W90S
GVYPbld04svd7RimT3ACeiKfWqEKbWYXhjculAR3QJ9LZUMVleMYc7O4Dtc1NoU9TlWzUmtT5TsM
wAkpvBejZkub/hAmSRmAjjFrbxkh9jtO5Oe+bfLcw6ViSz/XbPNDS7R4C8s5Mp+7vtpzB9h97gY7
jufrJ2UYVPchacusabVEXbRNG5JFNuGxhcoxCpaOUXVzq2RbOs/4+yi1Wqo9z7h8gHaUTfGw/t6g
BICxfXprCSB/7Ys7mYD2g/HPXbj/VgdKIRQEAK3J1ug+4ftDfReviGBejJjo+PAGMhfVRngEEidS
Da+gtZJp2nbIr6UzDIlO+s6AKQVIxYaRUMbq5VAFG27vxxATJGT8mzUHEKBi2Ay2oDWUjnLZggkF
aTrHDvDUFk0ErUTloltxrh518CPoFYIHTU8TeBNNVn7nxLx0gIar8Coiygg+PAtX8c5MRBlJF/Or
GCaGlQq0hrzsYGiUNa5XfXcIn/82EQ0zmByOXR3FgtoBBFuFAfcjRRdQh/uhwQHpBBckh0eQVWsX
jgigyvsSzojV2DOgmChG+qdokJ/Z9EUcoHIpvpgVnJOxy9YtHBQdQUA6+NM8BGAHR4WCxmkFZ2XU
DFKa+ig0wmVuyt9UI1zYcFxyrf7uZZBeRPPfs5xrneAYJMrShh2jCJJAA1+mUf0ZgJDT0kTqkoSl
HqUbA35NjIy6yN6QTkoOKxg4dmBPHBg5jl7hlRDfWjB1MtlHmk9auLlxQid7ocLokcM25oKjnHRw
fVo+xNSB/RPBAnJhAwE9nJY+VBJYQlLQH3ewhrIqAf40lE+lpYJa6i9LQTByvda4sOAcBWYH+cjV
USFQscuN5fAwiWI4SoGaIVZC92QAQlucyaZx0iksqUYod7eVROrSIf1UOY+D15/KfTLDReXECryL
vqjNWY9ge0uvc6YVxbc6HFh+mjnLc0zHinZYSJr7bSwBlji4MdtJc43IwlyTNNC7eg1DASjfRImw
BtYS3ZpKftlj/CKlUBeUtavrl3pJdwl/SzyMep54GzrnYS4tKx2JV8oWK9xSJDRxsHsvemVdh80S
lfKpQcYmd1UzZ3XwtFSUy1A6Py9w35ymenWs4u9BSlEB5EVc0I1OtAL3KI1cjZQ+V4HkdEXyQCLK
wxglrBYrJC3dgcmqzQsQIIdZHWozWtfYi0bwot2xr0UFDRSsCtzQB7McBvlJEpDwRjUNSDW7qy0d
qzs1IZtLxlNMQdZ9FDyiIR3SXVVXbk7PtA98hIPC9tJM1T9pyR9JhreypSZewNyiehF0a8Mhqrc6
JwANU+jReQoypXCbSRfkxSJshpOsULqJqQVnUVTctCaZHhIQ155psN4VaATCm4y2CBmrMvULxCS0
Mrxx2iSdOoFQ3TCk7gRl/PiYjls0fQ55/64/GxD+fh37r5/8TbL5HPfFX/0V9ykm66pq6H9LPPwV
97UDQPMEXWiEoKIFuOWtAi0fkCcQi4nHhHhDeFS8xX0HcIsQ55Lx0hGiM79VgTYU0Y74m1cgKtCm
CbWN9+KebZKFfIz7aYyFQ8zHOGsdP6owO0Eq2ZDheKXSURN7czjs49SQ2mHits1h3w1cGBGVmiut
c1QbkTnNNU1ZeOFwbUtZsWzCBN8mJaDobCbzsMkfPLWHrTDWGJ4uEW5upJkmNX9WHNaXA2DUpVma
7omvD+Zh2Fszs1C1aW615Rot6QbIoOojd6t8rzF+kN2mXuVdClkwRLcZ5fYIn4YGFH1/YcHRuShQ
tUEOrINGHwPNLlHimcQOAGgP5NhkcHIH56aEW2uEVnMjrZQQu8ZQCP7bTfCowBKE/tVSga/ZrCtT
VGO9fEQ1V4s8sHupcuaqOAH1Tcq/oTy7smDNgXjuL0YhN19S/+ddIBqNQoy+1GzE89Cnj9GpD9Gr
79Gtr0uOc2TzNjUJ/7EpxO2zujUmrRteZkYlEqDjVpKptZga4MKkALMptjc19bnd4H5ZPkvoUzEH
3HfloK2f+7J9aBTjedlFAxJmzi24/4cMPX6sES0IDj73JuMc8bJrr+Vm00EQa6Falrl+KKPtTyZT
zZD4MeHw6dYyj7O7sIuPoCve98IaYMAjoBdmAU3tLALcA4zUecqFnYCC5SWq/bU9ISfKKEOQXmnC
gyAIIG1GwpdAxaDAxqggkrkHdsK7IE6xvUL1kkNZOBuMVXVrYnVA2J1m4PjmkQdSd/ACqtYYI2TC
ISGR8UrobdObVdgnZDz6OFZbbRq0yByhnobRL+bHU09vzvMK1LFsdahAjKgR5vUdeomPiZfqC1dT
HnM3AtYNowROq0oL38ZbmsxtYfaUrseiwrGC5bpsZDkA+aMnsMkU2tC5rh1KjeMsPfRCp5qdsREy
+8cALUyPqu+a8Nt1KDbNlbCiGmViepLmJp9W2JfZcj7N0yheBFg0mL6LgzGlh2kRsEeo8MaTNvPH
mUuvhhRXm0BiWXotyBHf7s+01l2pRgplJj0zI/tQkoJFo2JGNHO7tcOYlV5f5UWH69VgnUeJeWvR
CwCfHk86LRxmbtiTCCtTmYJDldZ3VuzjgExZfpKFuTOvAKVOMyTgJnWYLrIoX9MkXVIvv6m85jAq
vJM6yRPg3RXBdjhX43alN8DHrc5htff9WRKrZC1yfO9Xwalh5iktgc46DAvrRHWoadf5Mpaof9rV
AIw9iqDrUmtD80qxp5KnBIdNGJyoTQB5Ir+PFYrCNuEd5oV7o1vGbVNWZ2oS6Us/ypxZj93AlMqX
MStTnDF9j/KW1NRLKoYU2cyxn0rIt3amewuNFwe4HI4iutkcPfydl8T9BOl3FOSjQ3csn4pU0+fq
iI0OGsgrlDxHMgczgmQYxdO29m9VV7uoO4DKWtAMeFVU+ixqS3MVFfIPmnrHehCcBFTfgUGg2R6n
xUxOgvvR1K5dl+deuhlcyRrqEBinS0CE94pLmdbT0gtVApuljPYP02mWpJTDpEhtF7ZKe1H6DYLP
6nXrV2u5hc1t5fYR1BnwJlZyERfprLcC6cjv4pvAqNOZXPdH5mDPWw9jGbTRjWlYxDEl6i6axwDK
Z6Psr4EKSWDPsx5Ed/zDG91rVBFJWhShTxUALOv98LHMjTMvox4s2904o7+tYvGFn1CHr92qtvOF
1VlC82S8GKjTzqWWtkvkeFc9PteNCl7KzY8dJ2kXel4eGbYBS17xKVwWCfYenYnDnontN3SQO4yB
hKTLpqj6APFTnwtB156aTXKjGu3JiDz6JFUBqLX6ogR1BUv8OMjLVVi59WpkEU27ESyuATgRKtXD
qORrw+PM7gXHmo5KoZRPNRKJdV9sxt6bWxQXJ9WAxIem3GcA3oCU0cQiX3UjeWXVGJJ4eBy1LAIQ
VJzcOQ7ymPYaEaKu/WBdYy6/xnbsKao5KAPNzOZtLFBmEHFqsCDkl1jjVc5Z6YzeUtW7P2PWLeVo
brBWV/rTVsUnjy4lVd0WbAONS5kOJrGznGeB3+DJQ3sTiKt5ZouWp0Q9YFlW5V1AN9TAcwb+h3Oj
WPU9ThvuBCx/P6lqlgY9YYUTBM4BLVbNtftl6ZQLPt930PCUNu3ssRJ9WSdU2hk2R1yaotCYuVzf
iXng/fhZl/vHtejwYvo71UTP10maR1d0gWWreNSQOAhDB3sE0SmuEUJTRO9YF11kuH0toEmuq67o
MbPLiqlrG6c+aDUuCnSipQB2DK3pASmfucU5KXrWHc3rQXSxAyn8FtHWNjprqoE3XcI0XJJH8Azc
9koBok41uLCORsk6xLWUUJzSFYhJjaawzhFsl5TqDBmCmTck9MWijHtld9ZbCPlAfDqRtSBB3TL/
AU3Jm8u6c98JLQKpoLPupSZqeyCYcjA1MlChC0qfa07zynHXeusv/YB0eUpz1D4EROQUtITizMeQ
MJBpiEC14bJP57jwX0R5/p1HG6SV/5BHN/Gm3MbP5a/e8mhEHsEesQ1Q6gZ7ITLitzwa6q6BFIiN
UbkwOHnPzzUPaCoKwIZQIbNt4bD+lkcbB3BzyYCovLHzTV35nfoZ3uw/5dG8sUM5jM+g6MDVZYFw
eodgomIiF4gwN6cjpERufM03BDh8QA41VtEtSOAyBqMHv2bI3HVQ4ltiKB0+R2l7nlTZoeW4En1Q
oEJOW8zwkz72G7pYFlC2TA2usAN9bGm0Qipvac1IXUKrUV3jx0TnTza9aVLlZzBcwO+Z39RKv4PZ
Q0XId8h7BJHekcZFrEsSqGIfTQEI/pgYkd3k4Z+GnX7Lh+ym9YEnZDWMEdc0sQ2H1Nqnt7Uj3bop
2GZAWZoWrNvIP6mz4FuV2bSOHeu81IyHGBnXecIXmwwxeoag3Y4aJbuHQTKg/qqNDAvsoog7IHLd
zaDm5dyru4Wuj/VMDTF41zuSIeiNj4WPCIEdmydVHV93wESmNn4WRmRfYnz+WFTOeWAIt7mCNr7s
hfXc7bpTO29RHk8f3Dq7dwvEibL0AUiQM22i0ps38PlWFWRchBtWwkNPD71vsQoINY/tfNaZ8JS7
PHvoFGcdSfg4JANUypxawmzAPGHBZi+naNic1BWa5Lp7Qn91NhKR6Md1C7nsjjzHWQlsKrYNeI2F
T8hYXWvAuVHOuEu8EWUDiw/JQ3Lk0iD/xt4GGlQxUfvCvCD5XftO/4OSEsw45MAz3LOnTYmCE7oG
t7pnXOo1Vjd2EF3rnvqjUc32cAjEnxv0wpHfvUukZlVlPrVNw6TYBdKWi1LIZSu+z3Ta9WrenFK8
kJFGsGK8KyFoyuibQ3JayBbESagHy6L2MyAeIG+bnKeW1Go3VbGLpU2NlhkAaBObnaVb0Z6jA3kE
tIcaLrWTidGNl1ZsLLuUQhvtIMwLoep6EbcgkhNlYkMJnBERyUAs5KLskUU8VDzDRM29eVeOV7AG
eNfUpmvVLly5uRpt7SjoIlqiKreqqnC9mReDlgVz/VBn/Z0NKGximfl3Wcmw+8rcadn1PTCaYGUW
JWYckr+SUymcSVaUTmU5W5qDvFRkZL5gHjgrCrEDNiH2UxIWJ6A/cE2vwnwOHOjQ9IYBFjqOvDRm
brLCOMJpArnCmmsFjfzvlaAgyaWCIfyYj+egt9RjPYUA2gOd9A5j1fG1WRR1t6odlS0UisoP/mQa
3PpMrS2vm5uBoS1MjMzTawuMQDbT6xyiOvJ4lT+lt26dEyQDExoa4FOt6L37oMnnVcwSmghR0NO8
qgAZkU/ZXT+RqSP5FlmYX8gCh2/0FxAjMHssAm0OpUuDiovL3ozLU1UcNpYMqr4IQIxOIdbEyawa
NNC+8UWWmX2B8qum3kUdl5811roN50zsK7PetB5kD5MZ7qZDiRljB5IM3ZlINwq4h6rlXcu1FVf3
qtt6dLk0fHNpViWm+y0yAuiuMu4zEvfwHkLp/y9lp9eIvlVd6y8GkfjpeQYY5jr7JMH1L/3SGxVp
+0Cvklz/mlyX6Od8CMDPH+xZMOwfx4k3gBaaRwTBNGIpcdIwFAWIq3j9xx+YD3qvP5b4ZyIqmb2t
EPt4r3dz9KtZ+Ocv+FnJ7PM4//jhf9Ysk3/OQn5/Ekg1FFXTKZu9zAHT+mESVETLKKnh70iC8n8/
Ce9rk5iM8Mh+exHwBf9eA9aBqGSaoFXR9eTFl/zw9VkDQMlUkLOvi2QfJkFkkR/U68Sz+3+YCcb5
MBW0SckoTSTExYvC6oepAHes0tO1RM/2/34hfJoDKr8A5H97NXycA+eAB82J4JBhi5f46fsjQewG
Ctg2xe99nYSfC/y/fSRgGq1YJrQCJH5eXj9PAgtB0xUOBWiivPbiYNiyHuSdp0KzhTI14mm/Oh1F
iOBlGBa9jr3cFK9P52/xzN9eD0yCwGWAa+c7ftwNMt9eVZHZfjk993Yh7HwwwKCw4MBYKjfh59en
w1E/UIHOcziyEPdzIbys0F0WgsN3RPGc7fC87z+fjuoBwGU6MkJ7eT8n4eXY3mUSbCGrpiKE9qsQ
gbgaxkKckC+rbg+zRhbvjnHSPrCgHhnqa6rwKXVGYQ4iMsCrZ730PQ4RLwt1t/Ugi0NBw0nq+fUp
gVYFrs0G4flyY9m/9SCIgzuuB/MAUpC4SJCSP79+jhQK3oiqbJI07OvJsHsCzVVKlckdVb7jxzjJ
EqDWa2mvVeP9WwLCzmDHJWAdYMCmWkJq8vm15SblmCBDMKV8WyJ7GSKE6P1uU0ECTRFe0fXPCwGj
OmEGxy1rr+fgk8HV7yeN6oFFL8IAg/PTZqDvAePaVjBg3Os5UF6y2V1CA3PA9zfoxrxsCc7ZD+eC
YhxgU8N1k+xavPY1f1ZectpdpoIAIascj1hdvT31j1Mh0irHhM28r1FS/4qs6RXb/po6/rweqLCw
aUydg3RPo6RwidvtcNQ4ArkjsP0RuhKvnyeB8wFFYNmxXgLy/sVKZfd0yTjQQDoKqOLLHGyJlSKp
xNHjZdHt4STsvhDMA74eBUX9FzmjKL3yMwrP+zoJnyxDfj9MAgIgSuqIa7yshJ93AwVHTMZ0Ts2X
O/fehojdL1LOAQUUjCYpJz2/PtVeVZxVDAUPlH29QwgO0o6n43MWbVkUHV/CJEv/Q5wURXjM93SY
zHsaIpSXp7NDskD+TBFeFxKJv9gUlFj4seCY7ekkfFKM/P2TwcBkERkDvuXLJPwcI4SIP+GDxtze
BsqXp7PDSiBZoA2havZbjPh0mbAPVAwLdItzQ7z2dlO8ZLW7TIV5QNmRCoL1Wnzdsh5kk0ITjco9
3RSvH2yXSSBcWjoBU34tPP68HjgeQdJxLjj7eo0wdk+caDXAbcUU7xcVRxInejJYkL1iJPYvexTM
oB0DJcU2EzVcmlIvx+OnxEk+4IcyzgH7nTi9wip22RSiaU22gLzXy1R8Ohk0+jbIsuA6t6cng/4V
BQZOBvCqwptGvLacDHQwiaXOvmaPr53DXVaChY2giSSc+Vpe/DQJZFZIDhEtX3bNvobL15Rml6mw
hS626EC9Ans+nQ8KSgSiMocWwfNrT7eGunO1gd617jzjuF+3xqf2hHzADRSIw2tlY//ihbp7vCBR
BKXx1874hG4SQZPzAeDPvqZPQtBxx6BpHiDYAckWwbrn15ZNAaQacNPeYrxES2XHSWAlIC+iU1f6
xSRwxeZyKdPJ2tczYfeLFasdqSKSyNfbxJaVAN8H3df9DZcvGf4uMUKjP0OEsM3XpsTP4ZJSNAo2
ZAx7e68UJug7bgcEYBGHBcrxivZjbX2sOGFoTBQ1KEnt6XZ4xRTsshJEdGAliKPx+fUphQbZpONA
Lu8tfkHwx3ZcCRqENBkZ6demhFj0H1YC20ED9UQ9fl9DpPC/3HESBCtPOFKSMm1fCUL2SlUUxI33
dDtou1+mbPiHAF8pPb7kxp/OBJFSiv/RxBKvfb1HaLtnCxZYDiGLTWr4dk/4sCmoONG7wWH1tfi/
f8mzvnuM0MV3FFW1XyDCRasOWx8dKdG3SWIb7t9UfGLt/n5Znq6lJgvg+y/Oh+fiG6tFeT2L9m8S
XjtHu4RLAgE1dxp1v6ozKAdiCkgf9zZn2DlS0KUC9Q+SSfsVEFglUoB1oIuzp5Hi9enssBIELl4T
9tJvpCEyg5+PRxMChUFrYl8n4SWZ2WESNAqwmqqCCX89Hn++R9DEx44BQODeXqY+SYL+/sGIPbiO
HqVh/qp9T8ENaTBw0i8Xt/07GI2dU2iB/ATUQoPqNQ5+SpzAMFBZIE7ua8pk7F5lgjRlgfPje/58
GHBaIGeigIH91w+Df2Gd/MU9nvr4Az1Tk5F/euYCv1Bu/9dfeOPtfh7gHdPymW/64TcFVfll7Bc+
pvjv/9o8JkE6C6q6DB5q9TkLevfTt6zo+Z1e//71K35+8w9v9va93v5xFTyVm/LBH55/MLx+0NNN
Arf5v2P+73GznSf696f5z//4+GGfn8rLSfjPo6N28/Tz4KKS9PZv2zncf13N/nHwZPOYlW8DHT7+
53+8qBaLS8bOn3yCNOq2D86Vaeexp5t40/JIqrex3n12gt/u46PpXX16pMw6xfEvGDyty80f06yq
t70FO3nnt5g9xX+cYtW4bf7JkHYefx7/MctKFs/bWO/mn3N45/EXJZJy2wYnnu08+DJ+StO3cd59
cJKTncdeNcn3LH6s34b6e3jBddh5+MMkfyqDTfw21Lvhv2LLHmLTsWXor9ixx0/lljkXXbCdJ+U4
SL0tB4HyFXv1ZBNt2UNCpGLnj32yqaqnbXPyFRv0JKv++O/Ue4qfts3MV2zR9eaRA/htHt4txK/Y
ousN7mxbxv6KLSrGzrNtp7tgZu38WNdP6WP2EGw7vQT+5AvGLx+eHt8G+nveBaRh98EzPvvbOO/G
/optus62zslX7FKGrp/Kp2HLJ/+KnXq6ybcsdFFq2HnCT5/azefc0UDS+QsGPys3HAFvA717nF+x
Rc/jzcPTltxR4El2npbzuEm2JXeiB7fz4JcBqWMVPG6ZGdHZ2Xn8q81DyZUgrbfEUtEw+II3SP+Y
PCFUtu0NvmKrXm3EG5TppnzcepAJatKXfItZ8ORt+xJfsWvFl1iwAx6C6mHbe3zF9hXvcZRtimZb
tBKUlS+ZpZMmqP44+x5U+bbv8RWbWXyP9aZ+2jb+V+xnxq83f0w25ffNtpxBtE2+YqZ4jylqoFsO
a1GI/6p3KJvxbbC/z1QBq9z9DfzN1juh/iWbmhrG1qn5ks0cVBFOqs3bJLybmC/Zy1m82ZY9CIjA
7rNOYrLNiUGwUHcf/H+zeHoWF9uhhnMlyixb4rD+Ffv2H00qdv3k1//owLzz6P+kC7z74BSIkm11
OdGK3HnR/MkIzba9KhgNO49+n8VbznlRjN596Ob7lsNXiMX9L0NvK8v+1dX+XKx9U3fc9mcfa9Hi
Nx7ip035X/8DAAD//w==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15240</xdr:colOff>
      <xdr:row>0</xdr:row>
      <xdr:rowOff>15240</xdr:rowOff>
    </xdr:from>
    <xdr:to>
      <xdr:col>24</xdr:col>
      <xdr:colOff>403860</xdr:colOff>
      <xdr:row>38</xdr:row>
      <xdr:rowOff>152400</xdr:rowOff>
    </xdr:to>
    <xdr:sp macro="" textlink="">
      <xdr:nvSpPr>
        <xdr:cNvPr id="3" name="Rectangle 2">
          <a:extLst>
            <a:ext uri="{FF2B5EF4-FFF2-40B4-BE49-F238E27FC236}">
              <a16:creationId xmlns:a16="http://schemas.microsoft.com/office/drawing/2014/main" id="{5243E17F-3A05-4959-976C-BEFC2E541B55}"/>
            </a:ext>
          </a:extLst>
        </xdr:cNvPr>
        <xdr:cNvSpPr/>
      </xdr:nvSpPr>
      <xdr:spPr>
        <a:xfrm>
          <a:off x="1508760" y="15240"/>
          <a:ext cx="13190220" cy="70866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0</xdr:rowOff>
    </xdr:from>
    <xdr:to>
      <xdr:col>3</xdr:col>
      <xdr:colOff>15240</xdr:colOff>
      <xdr:row>37</xdr:row>
      <xdr:rowOff>15240</xdr:rowOff>
    </xdr:to>
    <xdr:sp macro="" textlink="">
      <xdr:nvSpPr>
        <xdr:cNvPr id="2" name="Rectangle 1">
          <a:extLst>
            <a:ext uri="{FF2B5EF4-FFF2-40B4-BE49-F238E27FC236}">
              <a16:creationId xmlns:a16="http://schemas.microsoft.com/office/drawing/2014/main" id="{2C01113E-EBE5-6CA9-1215-541DDF677C39}"/>
            </a:ext>
          </a:extLst>
        </xdr:cNvPr>
        <xdr:cNvSpPr/>
      </xdr:nvSpPr>
      <xdr:spPr>
        <a:xfrm>
          <a:off x="15240" y="0"/>
          <a:ext cx="1493520" cy="6781800"/>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2</xdr:row>
      <xdr:rowOff>175260</xdr:rowOff>
    </xdr:from>
    <xdr:to>
      <xdr:col>2</xdr:col>
      <xdr:colOff>236220</xdr:colOff>
      <xdr:row>15</xdr:row>
      <xdr:rowOff>15240</xdr:rowOff>
    </xdr:to>
    <xdr:grpSp>
      <xdr:nvGrpSpPr>
        <xdr:cNvPr id="40" name="Group 39">
          <a:extLst>
            <a:ext uri="{FF2B5EF4-FFF2-40B4-BE49-F238E27FC236}">
              <a16:creationId xmlns:a16="http://schemas.microsoft.com/office/drawing/2014/main" id="{D0BD77DB-D267-955E-432F-C20BA5A56A55}"/>
            </a:ext>
          </a:extLst>
        </xdr:cNvPr>
        <xdr:cNvGrpSpPr/>
      </xdr:nvGrpSpPr>
      <xdr:grpSpPr>
        <a:xfrm>
          <a:off x="7620" y="541020"/>
          <a:ext cx="1455420" cy="2217420"/>
          <a:chOff x="0" y="0"/>
          <a:chExt cx="1318260" cy="2644140"/>
        </a:xfrm>
      </xdr:grpSpPr>
      <xdr:sp macro="" textlink="#REF!">
        <xdr:nvSpPr>
          <xdr:cNvPr id="4" name="TextBox 3">
            <a:extLst>
              <a:ext uri="{FF2B5EF4-FFF2-40B4-BE49-F238E27FC236}">
                <a16:creationId xmlns:a16="http://schemas.microsoft.com/office/drawing/2014/main" id="{9223E794-97DC-87BE-CFFA-F8F76604FE58}"/>
              </a:ext>
            </a:extLst>
          </xdr:cNvPr>
          <xdr:cNvSpPr txBox="1"/>
        </xdr:nvSpPr>
        <xdr:spPr>
          <a:xfrm>
            <a:off x="0" y="233886"/>
            <a:ext cx="1318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D42325-15DD-4995-8FBF-0CE40CEBB798}" type="TxLink">
              <a:rPr lang="en-US"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rPr>
              <a:pPr marL="0" indent="0"/>
              <a:t>2,400</a:t>
            </a:fld>
            <a:endParaRPr lang="en-IN"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endParaRPr>
          </a:p>
        </xdr:txBody>
      </xdr:sp>
      <xdr:sp macro="" textlink="#REF!">
        <xdr:nvSpPr>
          <xdr:cNvPr id="5" name="TextBox 4">
            <a:extLst>
              <a:ext uri="{FF2B5EF4-FFF2-40B4-BE49-F238E27FC236}">
                <a16:creationId xmlns:a16="http://schemas.microsoft.com/office/drawing/2014/main" id="{7689736C-6B09-40FC-816A-B57ED93E90B2}"/>
              </a:ext>
            </a:extLst>
          </xdr:cNvPr>
          <xdr:cNvSpPr txBox="1"/>
        </xdr:nvSpPr>
        <xdr:spPr>
          <a:xfrm>
            <a:off x="0" y="752629"/>
            <a:ext cx="1318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12AED7-496E-47CD-818D-5C620B403601}" type="TxLink">
              <a:rPr lang="en-US"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rPr>
              <a:pPr marL="0" indent="0"/>
              <a:t>11,997</a:t>
            </a:fld>
            <a:endParaRPr lang="en-IN"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endParaRPr>
          </a:p>
        </xdr:txBody>
      </xdr:sp>
      <xdr:sp macro="" textlink="#REF!">
        <xdr:nvSpPr>
          <xdr:cNvPr id="6" name="TextBox 5">
            <a:extLst>
              <a:ext uri="{FF2B5EF4-FFF2-40B4-BE49-F238E27FC236}">
                <a16:creationId xmlns:a16="http://schemas.microsoft.com/office/drawing/2014/main" id="{2BAC6BC7-82F9-4D70-B269-2A0163C832D0}"/>
              </a:ext>
            </a:extLst>
          </xdr:cNvPr>
          <xdr:cNvSpPr txBox="1"/>
        </xdr:nvSpPr>
        <xdr:spPr>
          <a:xfrm>
            <a:off x="0" y="1271372"/>
            <a:ext cx="1318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6BE136-B51E-4A5E-BA47-CE8A4F6A2C9C}" type="TxLink">
              <a:rPr lang="en-US" sz="1600" b="1" i="0" u="none" strike="noStrike">
                <a:solidFill>
                  <a:srgbClr val="FFC000"/>
                </a:solidFill>
                <a:latin typeface="Arial Black" panose="020B0A04020102020204" pitchFamily="34" charset="0"/>
                <a:ea typeface="+mn-ea"/>
                <a:cs typeface="+mn-cs"/>
              </a:rPr>
              <a:pPr marL="0" indent="0"/>
              <a:t>$649.0k</a:t>
            </a:fld>
            <a:endParaRPr lang="en-IN" sz="1600" b="1" i="0" u="none" strike="noStrike">
              <a:solidFill>
                <a:srgbClr val="FFC000"/>
              </a:solidFill>
              <a:latin typeface="Arial Black" panose="020B0A04020102020204" pitchFamily="34" charset="0"/>
              <a:ea typeface="+mn-ea"/>
              <a:cs typeface="+mn-cs"/>
            </a:endParaRPr>
          </a:p>
        </xdr:txBody>
      </xdr:sp>
      <xdr:sp macro="" textlink="#REF!">
        <xdr:nvSpPr>
          <xdr:cNvPr id="7" name="TextBox 6">
            <a:extLst>
              <a:ext uri="{FF2B5EF4-FFF2-40B4-BE49-F238E27FC236}">
                <a16:creationId xmlns:a16="http://schemas.microsoft.com/office/drawing/2014/main" id="{FB00BD37-45CA-4AEB-9DE8-7AAE7C5D7DC8}"/>
              </a:ext>
            </a:extLst>
          </xdr:cNvPr>
          <xdr:cNvSpPr txBox="1"/>
        </xdr:nvSpPr>
        <xdr:spPr>
          <a:xfrm>
            <a:off x="0" y="1790115"/>
            <a:ext cx="1318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5B76D78-9433-49D2-808D-7B39EDAE2846}" type="TxLink">
              <a:rPr lang="en-US"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rPr>
              <a:pPr marL="0" indent="0"/>
              <a:t>2.3</a:t>
            </a:fld>
            <a:endParaRPr lang="en-IN"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endParaRPr>
          </a:p>
        </xdr:txBody>
      </xdr:sp>
      <xdr:sp macro="" textlink="#REF!">
        <xdr:nvSpPr>
          <xdr:cNvPr id="8" name="TextBox 7">
            <a:extLst>
              <a:ext uri="{FF2B5EF4-FFF2-40B4-BE49-F238E27FC236}">
                <a16:creationId xmlns:a16="http://schemas.microsoft.com/office/drawing/2014/main" id="{12A468A7-9074-4027-8FA9-8B0138798573}"/>
              </a:ext>
            </a:extLst>
          </xdr:cNvPr>
          <xdr:cNvSpPr txBox="1"/>
        </xdr:nvSpPr>
        <xdr:spPr>
          <a:xfrm>
            <a:off x="0" y="2308860"/>
            <a:ext cx="13182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AD5192-A612-44EF-960C-D1AD7A0F39E2}" type="TxLink">
              <a:rPr lang="en-US"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rPr>
              <a:pPr marL="0" indent="0"/>
              <a:t>4.0</a:t>
            </a:fld>
            <a:endParaRPr lang="en-IN" sz="16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atin typeface="Arial Black" panose="020B0A04020102020204" pitchFamily="34" charset="0"/>
              <a:ea typeface="+mn-ea"/>
              <a:cs typeface="+mn-cs"/>
            </a:endParaRPr>
          </a:p>
        </xdr:txBody>
      </xdr:sp>
      <xdr:sp macro="" textlink="">
        <xdr:nvSpPr>
          <xdr:cNvPr id="10" name="TextBox 9">
            <a:extLst>
              <a:ext uri="{FF2B5EF4-FFF2-40B4-BE49-F238E27FC236}">
                <a16:creationId xmlns:a16="http://schemas.microsoft.com/office/drawing/2014/main" id="{BBA18723-0319-4607-BA55-79915D163FA1}"/>
              </a:ext>
            </a:extLst>
          </xdr:cNvPr>
          <xdr:cNvSpPr txBox="1"/>
        </xdr:nvSpPr>
        <xdr:spPr>
          <a:xfrm>
            <a:off x="0" y="0"/>
            <a:ext cx="888898"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mn-lt"/>
                <a:ea typeface="+mn-ea"/>
                <a:cs typeface="+mn-cs"/>
              </a:rPr>
              <a:t>ORDERS</a:t>
            </a:r>
            <a:r>
              <a:rPr lang="en-IN" sz="1100"/>
              <a:t> 🛒</a:t>
            </a:r>
          </a:p>
        </xdr:txBody>
      </xdr:sp>
      <xdr:sp macro="" textlink="">
        <xdr:nvSpPr>
          <xdr:cNvPr id="13" name="TextBox 12">
            <a:extLst>
              <a:ext uri="{FF2B5EF4-FFF2-40B4-BE49-F238E27FC236}">
                <a16:creationId xmlns:a16="http://schemas.microsoft.com/office/drawing/2014/main" id="{58F8933E-4F4B-4B24-A2E3-6683D2269E98}"/>
              </a:ext>
            </a:extLst>
          </xdr:cNvPr>
          <xdr:cNvSpPr txBox="1"/>
        </xdr:nvSpPr>
        <xdr:spPr>
          <a:xfrm>
            <a:off x="0" y="518743"/>
            <a:ext cx="911083"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mn-lt"/>
                <a:ea typeface="+mn-ea"/>
                <a:cs typeface="+mn-cs"/>
              </a:rPr>
              <a:t>Quantity</a:t>
            </a:r>
            <a:r>
              <a:rPr lang="en-IN" sz="1100" baseline="0">
                <a:solidFill>
                  <a:schemeClr val="bg1"/>
                </a:solidFill>
                <a:latin typeface="+mn-lt"/>
                <a:ea typeface="+mn-ea"/>
                <a:cs typeface="+mn-cs"/>
              </a:rPr>
              <a:t> </a:t>
            </a:r>
            <a:r>
              <a:rPr lang="en-IN" sz="1100"/>
              <a:t> 🎽</a:t>
            </a:r>
          </a:p>
        </xdr:txBody>
      </xdr:sp>
      <xdr:sp macro="" textlink="">
        <xdr:nvSpPr>
          <xdr:cNvPr id="14" name="TextBox 13">
            <a:extLst>
              <a:ext uri="{FF2B5EF4-FFF2-40B4-BE49-F238E27FC236}">
                <a16:creationId xmlns:a16="http://schemas.microsoft.com/office/drawing/2014/main" id="{059BD06B-877A-47CF-8748-5AB1DE040969}"/>
              </a:ext>
            </a:extLst>
          </xdr:cNvPr>
          <xdr:cNvSpPr txBox="1"/>
        </xdr:nvSpPr>
        <xdr:spPr>
          <a:xfrm>
            <a:off x="0" y="1037486"/>
            <a:ext cx="84722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mn-lt"/>
                <a:ea typeface="+mn-ea"/>
                <a:cs typeface="+mn-cs"/>
              </a:rPr>
              <a:t>Amount</a:t>
            </a:r>
            <a:r>
              <a:rPr lang="en-IN" sz="1100" baseline="0">
                <a:solidFill>
                  <a:schemeClr val="bg1"/>
                </a:solidFill>
                <a:latin typeface="+mn-lt"/>
                <a:ea typeface="+mn-ea"/>
                <a:cs typeface="+mn-cs"/>
              </a:rPr>
              <a:t> 💲</a:t>
            </a:r>
            <a:endParaRPr lang="en-IN" sz="1100"/>
          </a:p>
        </xdr:txBody>
      </xdr:sp>
      <xdr:sp macro="" textlink="">
        <xdr:nvSpPr>
          <xdr:cNvPr id="15" name="TextBox 14">
            <a:extLst>
              <a:ext uri="{FF2B5EF4-FFF2-40B4-BE49-F238E27FC236}">
                <a16:creationId xmlns:a16="http://schemas.microsoft.com/office/drawing/2014/main" id="{19D69A69-5942-4AE4-81D4-D11F7F10186D}"/>
              </a:ext>
            </a:extLst>
          </xdr:cNvPr>
          <xdr:cNvSpPr txBox="1"/>
        </xdr:nvSpPr>
        <xdr:spPr>
          <a:xfrm>
            <a:off x="0" y="1556229"/>
            <a:ext cx="891334"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mn-lt"/>
                <a:ea typeface="+mn-ea"/>
                <a:cs typeface="+mn-cs"/>
              </a:rPr>
              <a:t>AVG.DtD</a:t>
            </a:r>
            <a:r>
              <a:rPr lang="en-IN" sz="1100" baseline="0">
                <a:solidFill>
                  <a:schemeClr val="bg1"/>
                </a:solidFill>
                <a:latin typeface="+mn-lt"/>
                <a:ea typeface="+mn-ea"/>
                <a:cs typeface="+mn-cs"/>
              </a:rPr>
              <a:t> 🗓️</a:t>
            </a:r>
            <a:endParaRPr lang="en-IN" sz="1100"/>
          </a:p>
        </xdr:txBody>
      </xdr:sp>
      <xdr:sp macro="" textlink="">
        <xdr:nvSpPr>
          <xdr:cNvPr id="16" name="TextBox 15">
            <a:extLst>
              <a:ext uri="{FF2B5EF4-FFF2-40B4-BE49-F238E27FC236}">
                <a16:creationId xmlns:a16="http://schemas.microsoft.com/office/drawing/2014/main" id="{80F14D5F-2AAC-41C3-8821-5BB123A44D4B}"/>
              </a:ext>
            </a:extLst>
          </xdr:cNvPr>
          <xdr:cNvSpPr txBox="1"/>
        </xdr:nvSpPr>
        <xdr:spPr>
          <a:xfrm>
            <a:off x="0" y="2074972"/>
            <a:ext cx="1038169"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mn-lt"/>
                <a:ea typeface="+mn-ea"/>
                <a:cs typeface="+mn-cs"/>
              </a:rPr>
              <a:t>AVG.Rating</a:t>
            </a:r>
            <a:r>
              <a:rPr lang="en-IN" sz="1100"/>
              <a:t> 🛒</a:t>
            </a:r>
          </a:p>
        </xdr:txBody>
      </xdr:sp>
    </xdr:grpSp>
    <xdr:clientData/>
  </xdr:twoCellAnchor>
  <xdr:twoCellAnchor>
    <xdr:from>
      <xdr:col>3</xdr:col>
      <xdr:colOff>213360</xdr:colOff>
      <xdr:row>2</xdr:row>
      <xdr:rowOff>134620</xdr:rowOff>
    </xdr:from>
    <xdr:to>
      <xdr:col>9</xdr:col>
      <xdr:colOff>0</xdr:colOff>
      <xdr:row>17</xdr:row>
      <xdr:rowOff>0</xdr:rowOff>
    </xdr:to>
    <xdr:graphicFrame macro="">
      <xdr:nvGraphicFramePr>
        <xdr:cNvPr id="41" name="Chart 40">
          <a:extLst>
            <a:ext uri="{FF2B5EF4-FFF2-40B4-BE49-F238E27FC236}">
              <a16:creationId xmlns:a16="http://schemas.microsoft.com/office/drawing/2014/main" id="{59D0DD96-2098-410A-AB1A-43E014794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114300</xdr:rowOff>
    </xdr:from>
    <xdr:to>
      <xdr:col>16</xdr:col>
      <xdr:colOff>0</xdr:colOff>
      <xdr:row>17</xdr:row>
      <xdr:rowOff>0</xdr:rowOff>
    </xdr:to>
    <xdr:sp macro="" textlink="">
      <xdr:nvSpPr>
        <xdr:cNvPr id="42" name="Rectangle 41">
          <a:extLst>
            <a:ext uri="{FF2B5EF4-FFF2-40B4-BE49-F238E27FC236}">
              <a16:creationId xmlns:a16="http://schemas.microsoft.com/office/drawing/2014/main" id="{F49B4BC1-9C64-A0CA-2F11-51B803C1CEC8}"/>
            </a:ext>
          </a:extLst>
        </xdr:cNvPr>
        <xdr:cNvSpPr/>
      </xdr:nvSpPr>
      <xdr:spPr>
        <a:xfrm>
          <a:off x="5760720" y="480060"/>
          <a:ext cx="3657600" cy="2628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how they like to buy</a:t>
          </a:r>
          <a:endParaRPr lang="en-IN">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xdr:txBody>
    </xdr:sp>
    <xdr:clientData/>
  </xdr:twoCellAnchor>
  <mc:AlternateContent xmlns:mc="http://schemas.openxmlformats.org/markup-compatibility/2006">
    <mc:Choice xmlns:a14="http://schemas.microsoft.com/office/drawing/2010/main" Requires="a14">
      <xdr:twoCellAnchor editAs="oneCell">
        <xdr:from>
          <xdr:col>10</xdr:col>
          <xdr:colOff>20365</xdr:colOff>
          <xdr:row>4</xdr:row>
          <xdr:rowOff>99060</xdr:rowOff>
        </xdr:from>
        <xdr:to>
          <xdr:col>15</xdr:col>
          <xdr:colOff>553411</xdr:colOff>
          <xdr:row>16</xdr:row>
          <xdr:rowOff>106680</xdr:rowOff>
        </xdr:to>
        <xdr:pic>
          <xdr:nvPicPr>
            <xdr:cNvPr id="47" name="Picture 46">
              <a:extLst>
                <a:ext uri="{FF2B5EF4-FFF2-40B4-BE49-F238E27FC236}">
                  <a16:creationId xmlns:a16="http://schemas.microsoft.com/office/drawing/2014/main" id="{2B56490B-44CB-4DB9-A65C-DF5D8157A027}"/>
                </a:ext>
              </a:extLst>
            </xdr:cNvPr>
            <xdr:cNvPicPr>
              <a:picLocks noChangeAspect="1" noChangeArrowheads="1"/>
              <a:extLst>
                <a:ext uri="{84589F7E-364E-4C9E-8A38-B11213B215E9}">
                  <a14:cameraTool cellRange="Sheet2!$I$4:$M$9" spid="_x0000_s9218"/>
                </a:ext>
              </a:extLst>
            </xdr:cNvPicPr>
          </xdr:nvPicPr>
          <xdr:blipFill>
            <a:blip xmlns:r="http://schemas.openxmlformats.org/officeDocument/2006/relationships" r:embed="rId2"/>
            <a:srcRect/>
            <a:stretch>
              <a:fillRect/>
            </a:stretch>
          </xdr:blipFill>
          <xdr:spPr bwMode="auto">
            <a:xfrm>
              <a:off x="5781085" y="830580"/>
              <a:ext cx="3581046" cy="22021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0</xdr:colOff>
      <xdr:row>2</xdr:row>
      <xdr:rowOff>145627</xdr:rowOff>
    </xdr:from>
    <xdr:to>
      <xdr:col>23</xdr:col>
      <xdr:colOff>0</xdr:colOff>
      <xdr:row>16</xdr:row>
      <xdr:rowOff>91440</xdr:rowOff>
    </xdr:to>
    <xdr:graphicFrame macro="">
      <xdr:nvGraphicFramePr>
        <xdr:cNvPr id="48" name="Chart 47">
          <a:extLst>
            <a:ext uri="{FF2B5EF4-FFF2-40B4-BE49-F238E27FC236}">
              <a16:creationId xmlns:a16="http://schemas.microsoft.com/office/drawing/2014/main" id="{09FC5A33-4896-4C53-98BF-0154E7944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182880</xdr:colOff>
      <xdr:row>19</xdr:row>
      <xdr:rowOff>60960</xdr:rowOff>
    </xdr:from>
    <xdr:to>
      <xdr:col>8</xdr:col>
      <xdr:colOff>578621</xdr:colOff>
      <xdr:row>35</xdr:row>
      <xdr:rowOff>29690</xdr:rowOff>
    </xdr:to>
    <xdr:graphicFrame macro="">
      <xdr:nvGraphicFramePr>
        <xdr:cNvPr id="49" name="Chart 48">
          <a:extLst>
            <a:ext uri="{FF2B5EF4-FFF2-40B4-BE49-F238E27FC236}">
              <a16:creationId xmlns:a16="http://schemas.microsoft.com/office/drawing/2014/main" id="{C662B12E-B6B4-42AF-A058-0B31B5BD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106680</xdr:colOff>
      <xdr:row>28</xdr:row>
      <xdr:rowOff>0</xdr:rowOff>
    </xdr:from>
    <xdr:to>
      <xdr:col>6</xdr:col>
      <xdr:colOff>588092</xdr:colOff>
      <xdr:row>34</xdr:row>
      <xdr:rowOff>34564</xdr:rowOff>
    </xdr:to>
    <xdr:graphicFrame macro="">
      <xdr:nvGraphicFramePr>
        <xdr:cNvPr id="50" name="Chart 49">
          <a:extLst>
            <a:ext uri="{FF2B5EF4-FFF2-40B4-BE49-F238E27FC236}">
              <a16:creationId xmlns:a16="http://schemas.microsoft.com/office/drawing/2014/main" id="{8E8C2C22-1A05-4772-8F25-F5542D713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502920</xdr:colOff>
      <xdr:row>19</xdr:row>
      <xdr:rowOff>76200</xdr:rowOff>
    </xdr:from>
    <xdr:to>
      <xdr:col>15</xdr:col>
      <xdr:colOff>502920</xdr:colOff>
      <xdr:row>34</xdr:row>
      <xdr:rowOff>167640</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74C16E24-E715-4170-B887-42AC292B41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54040" y="3550920"/>
              <a:ext cx="3657600" cy="2834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586740</xdr:colOff>
      <xdr:row>25</xdr:row>
      <xdr:rowOff>22860</xdr:rowOff>
    </xdr:from>
    <xdr:to>
      <xdr:col>15</xdr:col>
      <xdr:colOff>205740</xdr:colOff>
      <xdr:row>31</xdr:row>
      <xdr:rowOff>15240</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25AC68DD-5D09-4127-9838-A27FA7F64C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76260" y="4594860"/>
              <a:ext cx="838200" cy="1089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38100</xdr:colOff>
      <xdr:row>18</xdr:row>
      <xdr:rowOff>60960</xdr:rowOff>
    </xdr:from>
    <xdr:to>
      <xdr:col>23</xdr:col>
      <xdr:colOff>0</xdr:colOff>
      <xdr:row>28</xdr:row>
      <xdr:rowOff>0</xdr:rowOff>
    </xdr:to>
    <xdr:graphicFrame macro="">
      <xdr:nvGraphicFramePr>
        <xdr:cNvPr id="54" name="Chart 53">
          <a:extLst>
            <a:ext uri="{FF2B5EF4-FFF2-40B4-BE49-F238E27FC236}">
              <a16:creationId xmlns:a16="http://schemas.microsoft.com/office/drawing/2014/main" id="{E226E829-1348-40FD-9657-476240448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38100</xdr:colOff>
      <xdr:row>28</xdr:row>
      <xdr:rowOff>91440</xdr:rowOff>
    </xdr:from>
    <xdr:to>
      <xdr:col>23</xdr:col>
      <xdr:colOff>0</xdr:colOff>
      <xdr:row>35</xdr:row>
      <xdr:rowOff>0</xdr:rowOff>
    </xdr:to>
    <xdr:graphicFrame macro="">
      <xdr:nvGraphicFramePr>
        <xdr:cNvPr id="55" name="Chart 54">
          <a:extLst>
            <a:ext uri="{FF2B5EF4-FFF2-40B4-BE49-F238E27FC236}">
              <a16:creationId xmlns:a16="http://schemas.microsoft.com/office/drawing/2014/main" id="{8198D207-4C4D-4FA5-A0ED-3F6A7666A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7620</xdr:colOff>
      <xdr:row>15</xdr:row>
      <xdr:rowOff>144780</xdr:rowOff>
    </xdr:from>
    <xdr:to>
      <xdr:col>2</xdr:col>
      <xdr:colOff>259080</xdr:colOff>
      <xdr:row>24</xdr:row>
      <xdr:rowOff>68580</xdr:rowOff>
    </xdr:to>
    <mc:AlternateContent xmlns:mc="http://schemas.openxmlformats.org/markup-compatibility/2006">
      <mc:Choice xmlns:a14="http://schemas.microsoft.com/office/drawing/2010/main" Requires="a14">
        <xdr:graphicFrame macro="">
          <xdr:nvGraphicFramePr>
            <xdr:cNvPr id="56" name="Gender Value 1">
              <a:extLst>
                <a:ext uri="{FF2B5EF4-FFF2-40B4-BE49-F238E27FC236}">
                  <a16:creationId xmlns:a16="http://schemas.microsoft.com/office/drawing/2014/main" id="{DD266736-4B19-4CF6-9DE7-42958B4A8A14}"/>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7620" y="2887980"/>
              <a:ext cx="1478280" cy="156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25</xdr:row>
      <xdr:rowOff>30480</xdr:rowOff>
    </xdr:from>
    <xdr:to>
      <xdr:col>2</xdr:col>
      <xdr:colOff>259080</xdr:colOff>
      <xdr:row>35</xdr:row>
      <xdr:rowOff>91439</xdr:rowOff>
    </xdr:to>
    <mc:AlternateContent xmlns:mc="http://schemas.openxmlformats.org/markup-compatibility/2006">
      <mc:Choice xmlns:a14="http://schemas.microsoft.com/office/drawing/2010/main" Requires="a14">
        <xdr:graphicFrame macro="">
          <xdr:nvGraphicFramePr>
            <xdr:cNvPr id="57" name="Order Mode 1">
              <a:extLst>
                <a:ext uri="{FF2B5EF4-FFF2-40B4-BE49-F238E27FC236}">
                  <a16:creationId xmlns:a16="http://schemas.microsoft.com/office/drawing/2014/main" id="{683BCEA0-C34C-40EC-9724-DA8F2CDB110C}"/>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30480" y="4602480"/>
              <a:ext cx="1455420" cy="188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175260</xdr:rowOff>
    </xdr:from>
    <xdr:to>
      <xdr:col>2</xdr:col>
      <xdr:colOff>248593</xdr:colOff>
      <xdr:row>3</xdr:row>
      <xdr:rowOff>53340</xdr:rowOff>
    </xdr:to>
    <xdr:pic>
      <xdr:nvPicPr>
        <xdr:cNvPr id="58" name="Picture 57">
          <a:extLst>
            <a:ext uri="{FF2B5EF4-FFF2-40B4-BE49-F238E27FC236}">
              <a16:creationId xmlns:a16="http://schemas.microsoft.com/office/drawing/2014/main" id="{710129BC-54BE-4A87-A80F-978133D01A0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 y="175260"/>
          <a:ext cx="1475412" cy="4267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A K" refreshedDate="46128.906956250001" createdVersion="8" refreshedVersion="8" minRefreshableVersion="3" recordCount="2400" xr:uid="{20EB95B9-DCB8-4EDA-93B3-22E03338137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92101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5C50B3-0B59-43F0-B4EF-A51A80977BAF}" name="Pvt table qnty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7:I2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h="1" x="2"/>
        <item h="1" x="1"/>
        <item h="1"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7">
    <i>
      <x v="1"/>
    </i>
    <i>
      <x v="2"/>
    </i>
    <i>
      <x v="3"/>
    </i>
    <i>
      <x v="4"/>
    </i>
    <i>
      <x v="5"/>
    </i>
    <i>
      <x v="6"/>
    </i>
    <i t="grand">
      <x/>
    </i>
  </rowItems>
  <colItems count="1">
    <i/>
  </colItems>
  <dataFields count="1">
    <dataField name="Count of TX ID" fld="0" subtotal="count" baseField="0" baseItem="0"/>
  </dataFields>
  <chartFormats count="1">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9E0A8-06F2-4006-98EB-2280A7561DCE}" name="pvt table mode am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AF1379-A6F4-4D83-94DD-51B7559177FF}" name="pvt table days to deliver"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location ref="AI63:AJ6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
    <i>
      <x/>
    </i>
    <i>
      <x v="1"/>
    </i>
    <i>
      <x v="2"/>
    </i>
    <i>
      <x v="4"/>
    </i>
    <i t="grand">
      <x/>
    </i>
  </rowItems>
  <colItems count="1">
    <i/>
  </colItems>
  <dataFields count="1">
    <dataField name="Count of TX ID" fld="0" subtotal="count" baseField="0" baseItem="0"/>
  </dataFields>
  <chartFormats count="1">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916C6B-9CA7-474A-8A22-2AC00691A880}" name="pvt table month"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H54:AL5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4">
    <i>
      <x v="2"/>
    </i>
    <i>
      <x v="3"/>
    </i>
    <i>
      <x v="4"/>
    </i>
    <i t="grand">
      <x/>
    </i>
  </colItems>
  <dataFields count="1">
    <dataField name="Count of TX ID" fld="0" subtotal="count" baseField="0" baseItem="0"/>
  </dataFields>
  <chartFormats count="5">
    <chartFormat chart="22" format="23" series="1">
      <pivotArea type="data" outline="0" fieldPosition="0">
        <references count="2">
          <reference field="4294967294" count="1" selected="0">
            <x v="0"/>
          </reference>
          <reference field="9" count="1" selected="0">
            <x v="0"/>
          </reference>
        </references>
      </pivotArea>
    </chartFormat>
    <chartFormat chart="22" format="24" series="1">
      <pivotArea type="data" outline="0" fieldPosition="0">
        <references count="2">
          <reference field="4294967294" count="1" selected="0">
            <x v="0"/>
          </reference>
          <reference field="9" count="1" selected="0">
            <x v="1"/>
          </reference>
        </references>
      </pivotArea>
    </chartFormat>
    <chartFormat chart="22" format="25" series="1">
      <pivotArea type="data" outline="0" fieldPosition="0">
        <references count="2">
          <reference field="4294967294" count="1" selected="0">
            <x v="0"/>
          </reference>
          <reference field="9" count="1" selected="0">
            <x v="2"/>
          </reference>
        </references>
      </pivotArea>
    </chartFormat>
    <chartFormat chart="22" format="26" series="1">
      <pivotArea type="data" outline="0" fieldPosition="0">
        <references count="2">
          <reference field="4294967294" count="1" selected="0">
            <x v="0"/>
          </reference>
          <reference field="9" count="1" selected="0">
            <x v="3"/>
          </reference>
        </references>
      </pivotArea>
    </chartFormat>
    <chartFormat chart="22" format="2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4B32AA-AEFE-4A7C-8BD8-CA44D75E9728}" name="pvt table gender"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S11:T1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6">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9" format="0" series="1">
      <pivotArea type="data" outline="0" fieldPosition="0">
        <references count="2">
          <reference field="4294967294" count="1" selected="0">
            <x v="0"/>
          </reference>
          <reference field="14" count="1" selected="0">
            <x v="0"/>
          </reference>
        </references>
      </pivotArea>
    </chartFormat>
    <chartFormat chart="9" format="1"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2"/>
          </reference>
        </references>
      </pivotArea>
    </chartFormat>
    <chartFormat chart="9" format="3" series="1">
      <pivotArea type="data" outline="0" fieldPosition="0">
        <references count="2">
          <reference field="4294967294" count="1" selected="0">
            <x v="0"/>
          </reference>
          <reference field="14" count="1" selected="0">
            <x v="3"/>
          </reference>
        </references>
      </pivotArea>
    </chartFormat>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 chart="20" format="0" series="1">
      <pivotArea type="data" outline="0" fieldPosition="0">
        <references count="1">
          <reference field="4294967294" count="1" selected="0">
            <x v="0"/>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14" count="1" selected="0">
            <x v="0"/>
          </reference>
        </references>
      </pivotArea>
    </chartFormat>
    <chartFormat chart="29" format="18">
      <pivotArea type="data" outline="0" fieldPosition="0">
        <references count="2">
          <reference field="4294967294" count="1" selected="0">
            <x v="0"/>
          </reference>
          <reference field="14" count="1" selected="0">
            <x v="1"/>
          </reference>
        </references>
      </pivotArea>
    </chartFormat>
    <chartFormat chart="29" format="19">
      <pivotArea type="data" outline="0" fieldPosition="0">
        <references count="2">
          <reference field="4294967294" count="1" selected="0">
            <x v="0"/>
          </reference>
          <reference field="14" count="1" selected="0">
            <x v="2"/>
          </reference>
        </references>
      </pivotArea>
    </chartFormat>
    <chartFormat chart="29"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6D51A3-5BA4-46DC-B6C8-7351F4E6C288}" name="pvt table prodc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L11:Q3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
    </i>
    <i>
      <x v="14"/>
    </i>
    <i>
      <x v="12"/>
    </i>
    <i>
      <x v="16"/>
    </i>
    <i>
      <x v="4"/>
    </i>
    <i>
      <x v="13"/>
    </i>
    <i>
      <x v="11"/>
    </i>
    <i>
      <x v="8"/>
    </i>
    <i>
      <x v="9"/>
    </i>
    <i>
      <x v="3"/>
    </i>
    <i>
      <x v="5"/>
    </i>
    <i>
      <x v="2"/>
    </i>
    <i>
      <x/>
    </i>
    <i>
      <x v="19"/>
    </i>
    <i>
      <x v="15"/>
    </i>
    <i>
      <x v="10"/>
    </i>
    <i>
      <x v="7"/>
    </i>
    <i>
      <x v="17"/>
    </i>
    <i t="grand">
      <x/>
    </i>
  </rowItems>
  <colFields count="1">
    <field x="14"/>
  </colFields>
  <colItems count="5">
    <i>
      <x/>
    </i>
    <i>
      <x v="1"/>
    </i>
    <i>
      <x v="2"/>
    </i>
    <i>
      <x v="3"/>
    </i>
    <i t="grand">
      <x/>
    </i>
  </colItems>
  <dataFields count="1">
    <dataField name="Sum of Quantity" fld="2" baseField="0" baseItem="0"/>
  </dataFields>
  <chartFormats count="8">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0" format="16" series="1">
      <pivotArea type="data" outline="0" fieldPosition="0">
        <references count="2">
          <reference field="4294967294" count="1" selected="0">
            <x v="0"/>
          </reference>
          <reference field="14" count="1" selected="0">
            <x v="0"/>
          </reference>
        </references>
      </pivotArea>
    </chartFormat>
    <chartFormat chart="20" format="17" series="1">
      <pivotArea type="data" outline="0" fieldPosition="0">
        <references count="2">
          <reference field="4294967294" count="1" selected="0">
            <x v="0"/>
          </reference>
          <reference field="14" count="1" selected="0">
            <x v="1"/>
          </reference>
        </references>
      </pivotArea>
    </chartFormat>
    <chartFormat chart="20" format="18" series="1">
      <pivotArea type="data" outline="0" fieldPosition="0">
        <references count="2">
          <reference field="4294967294" count="1" selected="0">
            <x v="0"/>
          </reference>
          <reference field="14" count="1" selected="0">
            <x v="2"/>
          </reference>
        </references>
      </pivotArea>
    </chartFormat>
    <chartFormat chart="20"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0B1609-6AA8-44C4-AEEE-1910CFE498F3}" name="pvt table qnty am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0:J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2">
    <i>
      <x/>
    </i>
    <i>
      <x v="1"/>
    </i>
    <i>
      <x v="3"/>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13" baseItem="3" numFmtId="164"/>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CC3564-BBB1-42E7-8BC8-4D63D8B0470F}" name="pvt table sm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L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1"/>
    <dataField name="Average of Rating C" fld="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6C08A2-4BDC-4E52-865A-0D6017099794}" name=" pvt table state county"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Y17:AB24"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2"/>
        <item h="1" x="1"/>
        <item h="1"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7">
    <i>
      <x/>
      <x/>
    </i>
    <i r="1">
      <x v="18"/>
    </i>
    <i r="1">
      <x v="37"/>
    </i>
    <i r="1">
      <x v="41"/>
    </i>
    <i r="1">
      <x v="42"/>
    </i>
    <i r="1">
      <x v="49"/>
    </i>
    <i r="1">
      <x v="55"/>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9CB7370-03B5-443F-A9E7-642CEBC7F23B}" sourceName="Order Mode">
  <pivotTables>
    <pivotTable tabId="2" name="pvt table month"/>
    <pivotTable tabId="2" name=" pvt table state county"/>
    <pivotTable tabId="2" name="pvt table days to deliver"/>
    <pivotTable tabId="2" name="pvt table gender"/>
    <pivotTable tabId="2" name="pvt table prodct"/>
    <pivotTable tabId="2" name="pvt table qnty amnt"/>
    <pivotTable tabId="2" name="pvt table smry"/>
    <pivotTable tabId="6" name="Pvt table qnty2"/>
  </pivotTables>
  <data>
    <tabular pivotCacheId="592101391">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43D992B-E421-4CCF-8442-90E09D0C6A25}" sourceName="Gender Value">
  <pivotTables>
    <pivotTable tabId="2" name="pvt table month"/>
    <pivotTable tabId="2" name=" pvt table state county"/>
    <pivotTable tabId="2" name="pvt table days to deliver"/>
    <pivotTable tabId="2" name="pvt table qnty amnt"/>
    <pivotTable tabId="6" name="Pvt table qnty2"/>
  </pivotTables>
  <data>
    <tabular pivotCacheId="592101391">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5D3CDBA2-5A96-44AC-AB01-C603044FA627}" cache="Slicer_Order_Mode" caption="Order Mode" rowHeight="247650"/>
  <slicer name="Gender Value 1" xr10:uid="{DE919A8C-08E5-46F8-A6CA-B3E8F1098375}"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F9" sqref="F9"/>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1C59-E828-4C22-990F-6E340DB40674}">
  <dimension ref="A1"/>
  <sheetViews>
    <sheetView tabSelected="1" workbookViewId="0">
      <selection activeCell="D2" sqref="D2"/>
    </sheetView>
  </sheetViews>
  <sheetFormatPr defaultRowHeight="14.4" x14ac:dyDescent="0.3"/>
  <cols>
    <col min="1" max="1" width="3.88671875" customWidth="1"/>
    <col min="2" max="2" width="14" customWidth="1"/>
    <col min="3" max="3" width="3.8867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B6D8F-7175-4C14-B017-B054A4916385}">
  <dimension ref="A2:M24"/>
  <sheetViews>
    <sheetView showGridLines="0" workbookViewId="0">
      <selection activeCell="I4" sqref="I4:M9"/>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2.44140625" bestFit="1" customWidth="1"/>
    <col min="9" max="9" width="12.21875" bestFit="1" customWidth="1"/>
    <col min="10" max="13" width="11.6640625" customWidth="1"/>
  </cols>
  <sheetData>
    <row r="2" spans="1:13" ht="25.2" customHeight="1" x14ac:dyDescent="0.3"/>
    <row r="3" spans="1:13" ht="15" thickBot="1" x14ac:dyDescent="0.35">
      <c r="A3" s="6" t="s">
        <v>2520</v>
      </c>
      <c r="B3" s="6" t="s">
        <v>2531</v>
      </c>
      <c r="I3" t="s">
        <v>2536</v>
      </c>
    </row>
    <row r="4" spans="1:13" ht="15.6" thickTop="1" thickBot="1" x14ac:dyDescent="0.35">
      <c r="A4" s="6" t="s">
        <v>2529</v>
      </c>
      <c r="B4" t="s">
        <v>2532</v>
      </c>
      <c r="C4" t="s">
        <v>2533</v>
      </c>
      <c r="D4" t="s">
        <v>2534</v>
      </c>
      <c r="E4" t="s">
        <v>2535</v>
      </c>
      <c r="F4" t="s">
        <v>2530</v>
      </c>
      <c r="I4" s="10"/>
      <c r="J4" s="11" t="str">
        <f>B4</f>
        <v>Female</v>
      </c>
      <c r="K4" s="11" t="str">
        <f t="shared" ref="K4:M4" si="0">C4</f>
        <v>Male</v>
      </c>
      <c r="L4" s="11" t="str">
        <f t="shared" si="0"/>
        <v>Other</v>
      </c>
      <c r="M4" s="12" t="str">
        <f t="shared" si="0"/>
        <v>Unknown</v>
      </c>
    </row>
    <row r="5" spans="1:13" ht="15.6" thickTop="1" thickBot="1" x14ac:dyDescent="0.35">
      <c r="A5" s="7" t="s">
        <v>18</v>
      </c>
      <c r="B5" s="9">
        <v>0.18961825201634841</v>
      </c>
      <c r="C5" s="9">
        <v>0.12262322351336576</v>
      </c>
      <c r="D5" s="9">
        <v>1.060537752469185E-2</v>
      </c>
      <c r="E5" s="9">
        <v>3.0599220547662797E-2</v>
      </c>
      <c r="F5" s="9">
        <v>0.35344607360206881</v>
      </c>
      <c r="I5" s="13" t="str">
        <f>A5</f>
        <v>App</v>
      </c>
      <c r="J5" s="14">
        <f t="shared" ref="J5:M9" si="1">B5</f>
        <v>0.18961825201634841</v>
      </c>
      <c r="K5" s="14">
        <f t="shared" si="1"/>
        <v>0.12262322351336576</v>
      </c>
      <c r="L5" s="14">
        <f t="shared" si="1"/>
        <v>1.060537752469185E-2</v>
      </c>
      <c r="M5" s="15">
        <f t="shared" si="1"/>
        <v>3.0599220547662797E-2</v>
      </c>
    </row>
    <row r="6" spans="1:13" ht="15.6" thickTop="1" thickBot="1" x14ac:dyDescent="0.35">
      <c r="A6" s="7" t="s">
        <v>51</v>
      </c>
      <c r="B6" s="9">
        <v>5.0283982091147303E-2</v>
      </c>
      <c r="C6" s="9">
        <v>4.3060781812819873E-2</v>
      </c>
      <c r="D6" s="9">
        <v>1.5320025675641944E-3</v>
      </c>
      <c r="E6" s="9">
        <v>1.7794988689097006E-2</v>
      </c>
      <c r="F6" s="9">
        <v>0.11267175516062837</v>
      </c>
      <c r="I6" s="13" t="str">
        <f t="shared" ref="I6:I9" si="2">A6</f>
        <v>Instagram</v>
      </c>
      <c r="J6" s="14">
        <f t="shared" si="1"/>
        <v>5.0283982091147303E-2</v>
      </c>
      <c r="K6" s="14">
        <f t="shared" si="1"/>
        <v>4.3060781812819873E-2</v>
      </c>
      <c r="L6" s="14">
        <f t="shared" si="1"/>
        <v>1.5320025675641944E-3</v>
      </c>
      <c r="M6" s="15">
        <f t="shared" si="1"/>
        <v>1.7794988689097006E-2</v>
      </c>
    </row>
    <row r="7" spans="1:13" ht="15.6" thickTop="1" thickBot="1" x14ac:dyDescent="0.35">
      <c r="A7" s="7" t="s">
        <v>70</v>
      </c>
      <c r="B7" s="9">
        <v>6.3496059750411282E-2</v>
      </c>
      <c r="C7" s="9">
        <v>4.6071629863988765E-2</v>
      </c>
      <c r="D7" s="9">
        <v>2.306247051322625E-3</v>
      </c>
      <c r="E7" s="9">
        <v>3.8927934093844286E-3</v>
      </c>
      <c r="F7" s="9">
        <v>0.11576673007510711</v>
      </c>
      <c r="I7" s="13" t="str">
        <f t="shared" si="2"/>
        <v>Partner App</v>
      </c>
      <c r="J7" s="14">
        <f t="shared" si="1"/>
        <v>6.3496059750411282E-2</v>
      </c>
      <c r="K7" s="14">
        <f t="shared" si="1"/>
        <v>4.6071629863988765E-2</v>
      </c>
      <c r="L7" s="14">
        <f t="shared" si="1"/>
        <v>2.306247051322625E-3</v>
      </c>
      <c r="M7" s="15">
        <f t="shared" si="1"/>
        <v>3.8927934093844286E-3</v>
      </c>
    </row>
    <row r="8" spans="1:13" ht="15.6" thickTop="1" thickBot="1" x14ac:dyDescent="0.35">
      <c r="A8" s="7" t="s">
        <v>40</v>
      </c>
      <c r="B8" s="9">
        <v>9.6337892927149532E-2</v>
      </c>
      <c r="C8" s="9">
        <v>6.7920115842382611E-2</v>
      </c>
      <c r="D8" s="9">
        <v>5.4979832664581261E-3</v>
      </c>
      <c r="E8" s="9">
        <v>1.2933041488102518E-2</v>
      </c>
      <c r="F8" s="9">
        <v>0.1826890335240928</v>
      </c>
      <c r="I8" s="13" t="str">
        <f t="shared" si="2"/>
        <v>Target.com</v>
      </c>
      <c r="J8" s="14">
        <f t="shared" si="1"/>
        <v>9.6337892927149532E-2</v>
      </c>
      <c r="K8" s="14">
        <f t="shared" si="1"/>
        <v>6.7920115842382611E-2</v>
      </c>
      <c r="L8" s="14">
        <f t="shared" si="1"/>
        <v>5.4979832664581261E-3</v>
      </c>
      <c r="M8" s="15">
        <f t="shared" si="1"/>
        <v>1.2933041488102518E-2</v>
      </c>
    </row>
    <row r="9" spans="1:13" ht="15.6" thickTop="1" thickBot="1" x14ac:dyDescent="0.35">
      <c r="A9" s="7" t="s">
        <v>35</v>
      </c>
      <c r="B9" s="9">
        <v>0.12522098709469262</v>
      </c>
      <c r="C9" s="9">
        <v>9.1492740283116228E-2</v>
      </c>
      <c r="D9" s="9">
        <v>6.3042760790965081E-3</v>
      </c>
      <c r="E9" s="9">
        <v>1.2408404181197551E-2</v>
      </c>
      <c r="F9" s="9">
        <v>0.23542640763810288</v>
      </c>
      <c r="I9" s="16" t="str">
        <f t="shared" si="2"/>
        <v>Website</v>
      </c>
      <c r="J9" s="17">
        <f t="shared" si="1"/>
        <v>0.12522098709469262</v>
      </c>
      <c r="K9" s="17">
        <f t="shared" si="1"/>
        <v>9.1492740283116228E-2</v>
      </c>
      <c r="L9" s="17">
        <f t="shared" si="1"/>
        <v>6.3042760790965081E-3</v>
      </c>
      <c r="M9" s="18">
        <f t="shared" si="1"/>
        <v>1.2408404181197551E-2</v>
      </c>
    </row>
    <row r="10" spans="1:13" ht="15" thickTop="1" x14ac:dyDescent="0.3">
      <c r="A10" s="7" t="s">
        <v>2530</v>
      </c>
      <c r="B10" s="9">
        <v>0.52495717387974916</v>
      </c>
      <c r="C10" s="9">
        <v>0.3711684913156732</v>
      </c>
      <c r="D10" s="9">
        <v>2.6245886489133303E-2</v>
      </c>
      <c r="E10" s="9">
        <v>7.7628448315444312E-2</v>
      </c>
      <c r="F10" s="9">
        <v>1</v>
      </c>
    </row>
    <row r="17" spans="8:9" x14ac:dyDescent="0.3">
      <c r="H17" s="6" t="s">
        <v>2529</v>
      </c>
      <c r="I17" t="s">
        <v>2518</v>
      </c>
    </row>
    <row r="18" spans="8:9" x14ac:dyDescent="0.3">
      <c r="H18" s="7">
        <v>2</v>
      </c>
      <c r="I18" s="21">
        <v>5</v>
      </c>
    </row>
    <row r="19" spans="8:9" x14ac:dyDescent="0.3">
      <c r="H19" s="7">
        <v>3</v>
      </c>
      <c r="I19" s="21">
        <v>1</v>
      </c>
    </row>
    <row r="20" spans="8:9" x14ac:dyDescent="0.3">
      <c r="H20" s="7">
        <v>4</v>
      </c>
      <c r="I20" s="21">
        <v>1</v>
      </c>
    </row>
    <row r="21" spans="8:9" x14ac:dyDescent="0.3">
      <c r="H21" s="7">
        <v>5</v>
      </c>
      <c r="I21" s="21">
        <v>1</v>
      </c>
    </row>
    <row r="22" spans="8:9" x14ac:dyDescent="0.3">
      <c r="H22" s="7" t="s">
        <v>2537</v>
      </c>
      <c r="I22" s="21">
        <v>5</v>
      </c>
    </row>
    <row r="23" spans="8:9" x14ac:dyDescent="0.3">
      <c r="H23" s="7" t="s">
        <v>2538</v>
      </c>
      <c r="I23" s="21">
        <v>3</v>
      </c>
    </row>
    <row r="24" spans="8:9" x14ac:dyDescent="0.3">
      <c r="H24" s="7" t="s">
        <v>2530</v>
      </c>
      <c r="I24" s="21">
        <v>16</v>
      </c>
    </row>
  </sheetData>
  <conditionalFormatting sqref="J5:M9">
    <cfRule type="colorScale" priority="1">
      <colorScale>
        <cfvo type="min"/>
        <cfvo type="percentile" val="50"/>
        <cfvo type="max"/>
        <color rgb="FFF8696B"/>
        <color rgb="FFFCFCFF"/>
        <color rgb="FF5A8AC6"/>
      </colorScale>
    </cfRule>
    <cfRule type="colorScale" priority="2">
      <colorScale>
        <cfvo type="min"/>
        <cfvo type="max"/>
        <color rgb="FFF8696B"/>
        <color rgb="FFFCFC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AL139"/>
  <sheetViews>
    <sheetView workbookViewId="0">
      <selection activeCell="AE81" sqref="AE81:AH139"/>
    </sheetView>
  </sheetViews>
  <sheetFormatPr defaultRowHeight="14.4" x14ac:dyDescent="0.3"/>
  <cols>
    <col min="1" max="1" width="3.6640625" customWidth="1"/>
    <col min="2" max="2" width="52.77734375" customWidth="1"/>
    <col min="8" max="8" width="12.21875" bestFit="1" customWidth="1"/>
    <col min="9" max="9" width="14.21875" bestFit="1" customWidth="1"/>
    <col min="10" max="10" width="13.5546875" bestFit="1" customWidth="1"/>
    <col min="11" max="11" width="22.33203125" bestFit="1" customWidth="1"/>
    <col min="12" max="12" width="16.6640625" bestFit="1" customWidth="1"/>
    <col min="13" max="13" width="15.5546875" bestFit="1" customWidth="1"/>
    <col min="14" max="14" width="5" bestFit="1" customWidth="1"/>
    <col min="15" max="15" width="5.6640625" bestFit="1" customWidth="1"/>
    <col min="16" max="16" width="8.5546875" bestFit="1" customWidth="1"/>
    <col min="17" max="17" width="10.5546875" bestFit="1" customWidth="1"/>
    <col min="19" max="19" width="12.44140625" bestFit="1" customWidth="1"/>
    <col min="20" max="20" width="14.21875" bestFit="1" customWidth="1"/>
    <col min="21" max="21" width="5" bestFit="1" customWidth="1"/>
    <col min="22" max="22" width="5.6640625" bestFit="1" customWidth="1"/>
    <col min="23" max="23" width="8.5546875" bestFit="1" customWidth="1"/>
    <col min="24" max="24" width="10.5546875" bestFit="1" customWidth="1"/>
    <col min="25" max="25" width="22.77734375" bestFit="1" customWidth="1"/>
    <col min="26" max="26" width="18.44140625" bestFit="1" customWidth="1"/>
    <col min="27" max="27" width="14.21875" bestFit="1" customWidth="1"/>
    <col min="28" max="28" width="13.5546875" bestFit="1" customWidth="1"/>
    <col min="34" max="34" width="12.44140625" bestFit="1" customWidth="1"/>
    <col min="35" max="35" width="14.21875" bestFit="1" customWidth="1"/>
  </cols>
  <sheetData>
    <row r="2" spans="2:20" x14ac:dyDescent="0.3">
      <c r="B2" s="3" t="s">
        <v>2503</v>
      </c>
    </row>
    <row r="3" spans="2:20" x14ac:dyDescent="0.3">
      <c r="B3" s="4" t="s">
        <v>2504</v>
      </c>
      <c r="H3" t="s">
        <v>2518</v>
      </c>
      <c r="I3" t="s">
        <v>2519</v>
      </c>
      <c r="J3" t="s">
        <v>2520</v>
      </c>
      <c r="K3" t="s">
        <v>2522</v>
      </c>
      <c r="L3" t="s">
        <v>2521</v>
      </c>
      <c r="O3" t="s">
        <v>2523</v>
      </c>
    </row>
    <row r="4" spans="2:20" x14ac:dyDescent="0.3">
      <c r="B4" s="4" t="s">
        <v>2505</v>
      </c>
      <c r="H4" s="21">
        <v>248</v>
      </c>
      <c r="I4" s="21">
        <v>1415</v>
      </c>
      <c r="J4" s="21">
        <v>73126.199999999953</v>
      </c>
      <c r="K4" s="21">
        <v>2.399193548387097</v>
      </c>
      <c r="L4" s="21">
        <v>4.024193548387097</v>
      </c>
      <c r="O4" t="s">
        <v>2524</v>
      </c>
      <c r="P4" t="s">
        <v>2526</v>
      </c>
      <c r="Q4" t="s">
        <v>2525</v>
      </c>
      <c r="R4" t="s">
        <v>2527</v>
      </c>
      <c r="S4" t="s">
        <v>2528</v>
      </c>
    </row>
    <row r="5" spans="2:20" x14ac:dyDescent="0.3">
      <c r="B5" s="4" t="s">
        <v>2506</v>
      </c>
      <c r="O5" t="str">
        <f>TEXT(H4,"#,##")</f>
        <v>248</v>
      </c>
      <c r="P5" t="str">
        <f t="shared" ref="P5" si="0">TEXT(I4,"#,##")</f>
        <v>1,415</v>
      </c>
      <c r="Q5" t="str">
        <f>TEXT(J4,"$#,##,.0k")</f>
        <v>$73.1k</v>
      </c>
      <c r="R5" t="str">
        <f>TEXT(K4,"0.0")</f>
        <v>2.4</v>
      </c>
      <c r="S5" t="str">
        <f>TEXT(L4,"0.0")</f>
        <v>4.0</v>
      </c>
    </row>
    <row r="6" spans="2:20" x14ac:dyDescent="0.3">
      <c r="B6" s="4" t="s">
        <v>2507</v>
      </c>
    </row>
    <row r="7" spans="2:20" x14ac:dyDescent="0.3">
      <c r="B7" s="4" t="s">
        <v>2508</v>
      </c>
    </row>
    <row r="10" spans="2:20" x14ac:dyDescent="0.3">
      <c r="B10" s="3" t="s">
        <v>2509</v>
      </c>
      <c r="H10" s="6" t="s">
        <v>2529</v>
      </c>
      <c r="I10" t="s">
        <v>2519</v>
      </c>
      <c r="J10" t="s">
        <v>2520</v>
      </c>
    </row>
    <row r="11" spans="2:20" x14ac:dyDescent="0.3">
      <c r="B11" t="s">
        <v>2510</v>
      </c>
      <c r="H11" s="7">
        <v>1</v>
      </c>
      <c r="I11" s="21">
        <v>13</v>
      </c>
      <c r="J11" s="8">
        <v>799.5</v>
      </c>
      <c r="L11" s="6" t="s">
        <v>2519</v>
      </c>
      <c r="M11" s="6" t="s">
        <v>2531</v>
      </c>
      <c r="S11" s="6" t="s">
        <v>2529</v>
      </c>
      <c r="T11" t="s">
        <v>2519</v>
      </c>
    </row>
    <row r="12" spans="2:20" x14ac:dyDescent="0.3">
      <c r="B12" t="s">
        <v>2511</v>
      </c>
      <c r="H12" s="7">
        <v>2</v>
      </c>
      <c r="I12" s="21">
        <v>5</v>
      </c>
      <c r="J12" s="8">
        <v>262.5</v>
      </c>
      <c r="L12" s="6" t="s">
        <v>2529</v>
      </c>
      <c r="M12" t="s">
        <v>2532</v>
      </c>
      <c r="N12" t="s">
        <v>2533</v>
      </c>
      <c r="O12" t="s">
        <v>2534</v>
      </c>
      <c r="P12" t="s">
        <v>2535</v>
      </c>
      <c r="Q12" t="s">
        <v>2530</v>
      </c>
      <c r="S12" s="7" t="s">
        <v>2532</v>
      </c>
      <c r="T12" s="21">
        <v>733</v>
      </c>
    </row>
    <row r="13" spans="2:20" x14ac:dyDescent="0.3">
      <c r="B13" t="s">
        <v>2512</v>
      </c>
      <c r="H13" s="7">
        <v>4</v>
      </c>
      <c r="I13" s="21">
        <v>28</v>
      </c>
      <c r="J13" s="8">
        <v>758.80000000000007</v>
      </c>
      <c r="L13" s="7" t="s">
        <v>44</v>
      </c>
      <c r="M13" s="21">
        <v>122</v>
      </c>
      <c r="N13" s="21">
        <v>82</v>
      </c>
      <c r="O13" s="21">
        <v>1</v>
      </c>
      <c r="P13" s="21">
        <v>35</v>
      </c>
      <c r="Q13" s="21">
        <v>240</v>
      </c>
      <c r="S13" s="7" t="s">
        <v>2533</v>
      </c>
      <c r="T13" s="21">
        <v>479</v>
      </c>
    </row>
    <row r="14" spans="2:20" x14ac:dyDescent="0.3">
      <c r="B14" t="s">
        <v>2513</v>
      </c>
      <c r="H14" s="7">
        <v>6</v>
      </c>
      <c r="I14" s="21">
        <v>4</v>
      </c>
      <c r="J14" s="8">
        <v>266</v>
      </c>
      <c r="L14" s="7" t="s">
        <v>39</v>
      </c>
      <c r="M14" s="21">
        <v>49</v>
      </c>
      <c r="N14" s="21">
        <v>79</v>
      </c>
      <c r="O14" s="21"/>
      <c r="P14" s="21">
        <v>105</v>
      </c>
      <c r="Q14" s="21">
        <v>233</v>
      </c>
      <c r="S14" s="7" t="s">
        <v>2534</v>
      </c>
      <c r="T14" s="21">
        <v>17</v>
      </c>
    </row>
    <row r="15" spans="2:20" x14ac:dyDescent="0.3">
      <c r="B15" t="s">
        <v>2514</v>
      </c>
      <c r="H15" s="7">
        <v>7</v>
      </c>
      <c r="I15" s="21">
        <v>2</v>
      </c>
      <c r="J15" s="8">
        <v>218.6</v>
      </c>
      <c r="L15" s="7" t="s">
        <v>54</v>
      </c>
      <c r="M15" s="21">
        <v>92</v>
      </c>
      <c r="N15" s="21">
        <v>38</v>
      </c>
      <c r="O15" s="21"/>
      <c r="P15" s="21"/>
      <c r="Q15" s="21">
        <v>130</v>
      </c>
      <c r="S15" s="7" t="s">
        <v>2535</v>
      </c>
      <c r="T15" s="21">
        <v>186</v>
      </c>
    </row>
    <row r="16" spans="2:20" x14ac:dyDescent="0.3">
      <c r="B16" t="s">
        <v>2515</v>
      </c>
      <c r="H16" s="7">
        <v>8</v>
      </c>
      <c r="I16" s="21">
        <v>12</v>
      </c>
      <c r="J16" s="8">
        <v>435.79999999999995</v>
      </c>
      <c r="L16" s="7" t="s">
        <v>46</v>
      </c>
      <c r="M16" s="21">
        <v>82</v>
      </c>
      <c r="N16" s="21">
        <v>7</v>
      </c>
      <c r="O16" s="21"/>
      <c r="P16" s="21">
        <v>10</v>
      </c>
      <c r="Q16" s="21">
        <v>99</v>
      </c>
      <c r="S16" s="7" t="s">
        <v>2530</v>
      </c>
      <c r="T16" s="21">
        <v>1415</v>
      </c>
    </row>
    <row r="17" spans="2:28" x14ac:dyDescent="0.3">
      <c r="B17" t="s">
        <v>2516</v>
      </c>
      <c r="H17" s="7">
        <v>9</v>
      </c>
      <c r="I17" s="21">
        <v>15</v>
      </c>
      <c r="J17" s="8">
        <v>660</v>
      </c>
      <c r="L17" s="7" t="s">
        <v>16</v>
      </c>
      <c r="M17" s="21">
        <v>73</v>
      </c>
      <c r="N17" s="21">
        <v>22</v>
      </c>
      <c r="O17" s="21"/>
      <c r="P17" s="21">
        <v>2</v>
      </c>
      <c r="Q17" s="21">
        <v>97</v>
      </c>
      <c r="Y17" s="6" t="s">
        <v>10</v>
      </c>
      <c r="Z17" s="6" t="s">
        <v>11</v>
      </c>
      <c r="AA17" t="s">
        <v>2519</v>
      </c>
      <c r="AB17" t="s">
        <v>2520</v>
      </c>
    </row>
    <row r="18" spans="2:28" x14ac:dyDescent="0.3">
      <c r="B18" t="s">
        <v>2517</v>
      </c>
      <c r="H18" s="7">
        <v>10</v>
      </c>
      <c r="I18" s="21">
        <v>94</v>
      </c>
      <c r="J18" s="8">
        <v>7590.7</v>
      </c>
      <c r="L18" s="7" t="s">
        <v>22</v>
      </c>
      <c r="M18" s="21">
        <v>53</v>
      </c>
      <c r="N18" s="21">
        <v>32</v>
      </c>
      <c r="O18" s="21">
        <v>6</v>
      </c>
      <c r="P18" s="21"/>
      <c r="Q18" s="21">
        <v>91</v>
      </c>
      <c r="Y18" t="s">
        <v>19</v>
      </c>
      <c r="Z18" t="s">
        <v>115</v>
      </c>
      <c r="AA18" s="21">
        <v>2</v>
      </c>
      <c r="AB18" s="21">
        <v>42.2</v>
      </c>
    </row>
    <row r="19" spans="2:28" x14ac:dyDescent="0.3">
      <c r="H19" s="7">
        <v>11</v>
      </c>
      <c r="I19" s="21">
        <v>2</v>
      </c>
      <c r="J19" s="8">
        <v>42.2</v>
      </c>
      <c r="L19" s="7" t="s">
        <v>32</v>
      </c>
      <c r="M19" s="21">
        <v>65</v>
      </c>
      <c r="N19" s="21">
        <v>17</v>
      </c>
      <c r="O19" s="21"/>
      <c r="P19" s="21">
        <v>6</v>
      </c>
      <c r="Q19" s="21">
        <v>88</v>
      </c>
      <c r="Y19" t="s">
        <v>19</v>
      </c>
      <c r="Z19" t="s">
        <v>33</v>
      </c>
      <c r="AA19" s="21">
        <v>111</v>
      </c>
      <c r="AB19" s="21">
        <v>8532</v>
      </c>
    </row>
    <row r="20" spans="2:28" x14ac:dyDescent="0.3">
      <c r="H20" s="7">
        <v>12</v>
      </c>
      <c r="I20" s="21">
        <v>3</v>
      </c>
      <c r="J20" s="8">
        <v>252</v>
      </c>
      <c r="L20" s="7" t="s">
        <v>26</v>
      </c>
      <c r="M20" s="21">
        <v>28</v>
      </c>
      <c r="N20" s="21">
        <v>55</v>
      </c>
      <c r="O20" s="21"/>
      <c r="P20" s="21">
        <v>2</v>
      </c>
      <c r="Q20" s="21">
        <v>85</v>
      </c>
      <c r="Y20" t="s">
        <v>19</v>
      </c>
      <c r="Z20" t="s">
        <v>103</v>
      </c>
      <c r="AA20" s="21">
        <v>7</v>
      </c>
      <c r="AB20" s="21">
        <v>462</v>
      </c>
    </row>
    <row r="21" spans="2:28" x14ac:dyDescent="0.3">
      <c r="H21" s="7">
        <v>13</v>
      </c>
      <c r="I21" s="21">
        <v>8</v>
      </c>
      <c r="J21" s="8">
        <v>263.2</v>
      </c>
      <c r="L21" s="7" t="s">
        <v>37</v>
      </c>
      <c r="M21" s="21">
        <v>38</v>
      </c>
      <c r="N21" s="21">
        <v>33</v>
      </c>
      <c r="O21" s="21"/>
      <c r="P21" s="21">
        <v>10</v>
      </c>
      <c r="Q21" s="21">
        <v>81</v>
      </c>
      <c r="Y21" t="s">
        <v>19</v>
      </c>
      <c r="Z21" t="s">
        <v>74</v>
      </c>
      <c r="AA21" s="21">
        <v>2</v>
      </c>
      <c r="AB21" s="21">
        <v>64.2</v>
      </c>
    </row>
    <row r="22" spans="2:28" x14ac:dyDescent="0.3">
      <c r="H22" s="7" t="s">
        <v>2530</v>
      </c>
      <c r="I22" s="21">
        <v>186</v>
      </c>
      <c r="J22" s="8">
        <v>11549.300000000001</v>
      </c>
      <c r="L22" s="7" t="s">
        <v>146</v>
      </c>
      <c r="M22" s="21">
        <v>9</v>
      </c>
      <c r="N22" s="21">
        <v>33</v>
      </c>
      <c r="O22" s="21">
        <v>7</v>
      </c>
      <c r="P22" s="21">
        <v>3</v>
      </c>
      <c r="Q22" s="21">
        <v>52</v>
      </c>
      <c r="Y22" t="s">
        <v>19</v>
      </c>
      <c r="Z22" t="s">
        <v>77</v>
      </c>
      <c r="AA22" s="21">
        <v>56</v>
      </c>
      <c r="AB22" s="21">
        <v>2096.5</v>
      </c>
    </row>
    <row r="23" spans="2:28" x14ac:dyDescent="0.3">
      <c r="L23" s="7" t="s">
        <v>67</v>
      </c>
      <c r="M23" s="21">
        <v>32</v>
      </c>
      <c r="N23" s="21">
        <v>10</v>
      </c>
      <c r="O23" s="21"/>
      <c r="P23" s="21"/>
      <c r="Q23" s="21">
        <v>42</v>
      </c>
      <c r="Y23" t="s">
        <v>19</v>
      </c>
      <c r="Z23" t="s">
        <v>110</v>
      </c>
      <c r="AA23" s="21">
        <v>2</v>
      </c>
      <c r="AB23" s="21">
        <v>218.6</v>
      </c>
    </row>
    <row r="24" spans="2:28" x14ac:dyDescent="0.3">
      <c r="L24" s="7" t="s">
        <v>123</v>
      </c>
      <c r="M24" s="21">
        <v>24</v>
      </c>
      <c r="N24" s="21">
        <v>9</v>
      </c>
      <c r="O24" s="21"/>
      <c r="P24" s="21">
        <v>4</v>
      </c>
      <c r="Q24" s="21">
        <v>37</v>
      </c>
      <c r="Y24" t="s">
        <v>19</v>
      </c>
      <c r="Z24" t="s">
        <v>82</v>
      </c>
      <c r="AA24" s="21">
        <v>6</v>
      </c>
      <c r="AB24" s="21">
        <v>133.80000000000001</v>
      </c>
    </row>
    <row r="25" spans="2:28" x14ac:dyDescent="0.3">
      <c r="L25" s="7" t="s">
        <v>42</v>
      </c>
      <c r="M25" s="21">
        <v>12</v>
      </c>
      <c r="N25" s="21">
        <v>19</v>
      </c>
      <c r="O25" s="21"/>
      <c r="P25" s="21"/>
      <c r="Q25" s="21">
        <v>31</v>
      </c>
    </row>
    <row r="26" spans="2:28" x14ac:dyDescent="0.3">
      <c r="L26" s="7" t="s">
        <v>69</v>
      </c>
      <c r="M26" s="21">
        <v>22</v>
      </c>
      <c r="N26" s="21">
        <v>7</v>
      </c>
      <c r="O26" s="21"/>
      <c r="P26" s="21"/>
      <c r="Q26" s="21">
        <v>29</v>
      </c>
    </row>
    <row r="27" spans="2:28" x14ac:dyDescent="0.3">
      <c r="L27" s="7" t="s">
        <v>81</v>
      </c>
      <c r="M27" s="21">
        <v>5</v>
      </c>
      <c r="N27" s="21">
        <v>20</v>
      </c>
      <c r="O27" s="21"/>
      <c r="P27" s="21"/>
      <c r="Q27" s="21">
        <v>25</v>
      </c>
    </row>
    <row r="28" spans="2:28" x14ac:dyDescent="0.3">
      <c r="L28" s="7" t="s">
        <v>30</v>
      </c>
      <c r="M28" s="21">
        <v>11</v>
      </c>
      <c r="N28" s="21">
        <v>10</v>
      </c>
      <c r="O28" s="21"/>
      <c r="P28" s="21"/>
      <c r="Q28" s="21">
        <v>21</v>
      </c>
    </row>
    <row r="29" spans="2:28" x14ac:dyDescent="0.3">
      <c r="L29" s="7" t="s">
        <v>128</v>
      </c>
      <c r="M29" s="21">
        <v>9</v>
      </c>
      <c r="N29" s="21"/>
      <c r="O29" s="21">
        <v>3</v>
      </c>
      <c r="P29" s="21">
        <v>9</v>
      </c>
      <c r="Q29" s="21">
        <v>21</v>
      </c>
    </row>
    <row r="30" spans="2:28" x14ac:dyDescent="0.3">
      <c r="L30" s="7" t="s">
        <v>135</v>
      </c>
      <c r="M30" s="21">
        <v>7</v>
      </c>
      <c r="N30" s="21">
        <v>3</v>
      </c>
      <c r="O30" s="21"/>
      <c r="P30" s="21"/>
      <c r="Q30" s="21">
        <v>10</v>
      </c>
    </row>
    <row r="31" spans="2:28" x14ac:dyDescent="0.3">
      <c r="L31" s="7" t="s">
        <v>171</v>
      </c>
      <c r="M31" s="21"/>
      <c r="N31" s="21">
        <v>2</v>
      </c>
      <c r="O31" s="21"/>
      <c r="P31" s="21"/>
      <c r="Q31" s="21">
        <v>2</v>
      </c>
    </row>
    <row r="32" spans="2:28" x14ac:dyDescent="0.3">
      <c r="L32" s="7" t="s">
        <v>76</v>
      </c>
      <c r="M32" s="21"/>
      <c r="N32" s="21">
        <v>1</v>
      </c>
      <c r="O32" s="21"/>
      <c r="P32" s="21"/>
      <c r="Q32" s="21">
        <v>1</v>
      </c>
    </row>
    <row r="33" spans="12:17" x14ac:dyDescent="0.3">
      <c r="L33" s="7" t="s">
        <v>2530</v>
      </c>
      <c r="M33" s="21">
        <v>733</v>
      </c>
      <c r="N33" s="21">
        <v>479</v>
      </c>
      <c r="O33" s="21">
        <v>17</v>
      </c>
      <c r="P33" s="21">
        <v>186</v>
      </c>
      <c r="Q33" s="21">
        <v>1415</v>
      </c>
    </row>
    <row r="54" spans="34:38" x14ac:dyDescent="0.3">
      <c r="AH54" s="6" t="s">
        <v>2518</v>
      </c>
      <c r="AI54" s="6" t="s">
        <v>2531</v>
      </c>
    </row>
    <row r="55" spans="34:38" x14ac:dyDescent="0.3">
      <c r="AH55" s="6" t="s">
        <v>2529</v>
      </c>
      <c r="AI55">
        <v>3</v>
      </c>
      <c r="AJ55">
        <v>4</v>
      </c>
      <c r="AK55">
        <v>5</v>
      </c>
      <c r="AL55" t="s">
        <v>2530</v>
      </c>
    </row>
    <row r="56" spans="34:38" x14ac:dyDescent="0.3">
      <c r="AH56" s="7" t="s">
        <v>2541</v>
      </c>
      <c r="AI56" s="21">
        <v>1</v>
      </c>
      <c r="AJ56" s="21">
        <v>1</v>
      </c>
      <c r="AK56" s="21">
        <v>1</v>
      </c>
      <c r="AL56" s="21">
        <v>3</v>
      </c>
    </row>
    <row r="57" spans="34:38" x14ac:dyDescent="0.3">
      <c r="AH57" s="7" t="s">
        <v>2542</v>
      </c>
      <c r="AI57" s="21">
        <v>3</v>
      </c>
      <c r="AJ57" s="21">
        <v>2</v>
      </c>
      <c r="AK57" s="21">
        <v>3</v>
      </c>
      <c r="AL57" s="21">
        <v>8</v>
      </c>
    </row>
    <row r="58" spans="34:38" x14ac:dyDescent="0.3">
      <c r="AH58" s="7" t="s">
        <v>2543</v>
      </c>
      <c r="AI58" s="21">
        <v>1</v>
      </c>
      <c r="AJ58" s="21">
        <v>2</v>
      </c>
      <c r="AK58" s="21">
        <v>2</v>
      </c>
      <c r="AL58" s="21">
        <v>5</v>
      </c>
    </row>
    <row r="59" spans="34:38" x14ac:dyDescent="0.3">
      <c r="AH59" s="7" t="s">
        <v>2530</v>
      </c>
      <c r="AI59" s="21">
        <v>5</v>
      </c>
      <c r="AJ59" s="21">
        <v>5</v>
      </c>
      <c r="AK59" s="21">
        <v>6</v>
      </c>
      <c r="AL59" s="21">
        <v>16</v>
      </c>
    </row>
    <row r="63" spans="34:38" x14ac:dyDescent="0.3">
      <c r="AI63" s="6" t="s">
        <v>2529</v>
      </c>
      <c r="AJ63" t="s">
        <v>2518</v>
      </c>
    </row>
    <row r="64" spans="34:38" x14ac:dyDescent="0.3">
      <c r="AI64" s="7">
        <v>0</v>
      </c>
      <c r="AJ64" s="21">
        <v>2</v>
      </c>
    </row>
    <row r="65" spans="25:36" x14ac:dyDescent="0.3">
      <c r="AI65" s="7">
        <v>1</v>
      </c>
      <c r="AJ65" s="21">
        <v>7</v>
      </c>
    </row>
    <row r="66" spans="25:36" x14ac:dyDescent="0.3">
      <c r="AI66" s="7">
        <v>2</v>
      </c>
      <c r="AJ66" s="21">
        <v>6</v>
      </c>
    </row>
    <row r="67" spans="25:36" x14ac:dyDescent="0.3">
      <c r="AI67" s="7">
        <v>4</v>
      </c>
      <c r="AJ67" s="21">
        <v>1</v>
      </c>
    </row>
    <row r="68" spans="25:36" x14ac:dyDescent="0.3">
      <c r="AI68" s="7" t="s">
        <v>2530</v>
      </c>
      <c r="AJ68" s="21">
        <v>16</v>
      </c>
    </row>
    <row r="80" spans="25:36" x14ac:dyDescent="0.3">
      <c r="Y80" t="s">
        <v>2539</v>
      </c>
      <c r="AE80" t="s">
        <v>2540</v>
      </c>
    </row>
    <row r="81" spans="25:34" x14ac:dyDescent="0.3">
      <c r="Y81" s="5" t="s">
        <v>10</v>
      </c>
      <c r="Z81" s="5" t="s">
        <v>11</v>
      </c>
      <c r="AA81" s="5" t="s">
        <v>2519</v>
      </c>
      <c r="AE81" s="5" t="s">
        <v>10</v>
      </c>
      <c r="AF81" s="5" t="s">
        <v>11</v>
      </c>
      <c r="AH81" s="5" t="s">
        <v>2520</v>
      </c>
    </row>
    <row r="82" spans="25:34" x14ac:dyDescent="0.3">
      <c r="Y82" s="19" t="s">
        <v>19</v>
      </c>
      <c r="Z82" t="s">
        <v>115</v>
      </c>
      <c r="AA82">
        <v>579</v>
      </c>
      <c r="AE82" s="19" t="s">
        <v>19</v>
      </c>
      <c r="AF82" t="s">
        <v>115</v>
      </c>
      <c r="AH82">
        <v>31884.999999999996</v>
      </c>
    </row>
    <row r="83" spans="25:34" x14ac:dyDescent="0.3">
      <c r="Y83" s="19" t="s">
        <v>19</v>
      </c>
      <c r="Z83" t="s">
        <v>20</v>
      </c>
      <c r="AA83">
        <v>1</v>
      </c>
      <c r="AE83" s="19" t="s">
        <v>19</v>
      </c>
      <c r="AF83" t="s">
        <v>20</v>
      </c>
      <c r="AH83">
        <v>10.9</v>
      </c>
    </row>
    <row r="84" spans="25:34" x14ac:dyDescent="0.3">
      <c r="Y84" s="19" t="s">
        <v>19</v>
      </c>
      <c r="Z84" t="s">
        <v>641</v>
      </c>
      <c r="AA84">
        <v>9</v>
      </c>
      <c r="AE84" s="19" t="s">
        <v>19</v>
      </c>
      <c r="AF84" t="s">
        <v>641</v>
      </c>
      <c r="AH84">
        <v>800.3</v>
      </c>
    </row>
    <row r="85" spans="25:34" x14ac:dyDescent="0.3">
      <c r="Y85" s="19" t="s">
        <v>19</v>
      </c>
      <c r="Z85" t="s">
        <v>967</v>
      </c>
      <c r="AA85">
        <v>35</v>
      </c>
      <c r="AE85" s="19" t="s">
        <v>19</v>
      </c>
      <c r="AF85" t="s">
        <v>967</v>
      </c>
      <c r="AH85">
        <v>1062.5999999999999</v>
      </c>
    </row>
    <row r="86" spans="25:34" x14ac:dyDescent="0.3">
      <c r="Y86" s="19" t="s">
        <v>19</v>
      </c>
      <c r="Z86" t="s">
        <v>84</v>
      </c>
      <c r="AA86">
        <v>12</v>
      </c>
      <c r="AE86" s="19" t="s">
        <v>19</v>
      </c>
      <c r="AF86" t="s">
        <v>84</v>
      </c>
      <c r="AH86">
        <v>326.20000000000005</v>
      </c>
    </row>
    <row r="87" spans="25:34" x14ac:dyDescent="0.3">
      <c r="Y87" s="19" t="s">
        <v>19</v>
      </c>
      <c r="Z87" t="s">
        <v>1383</v>
      </c>
      <c r="AA87">
        <v>4</v>
      </c>
      <c r="AE87" s="19" t="s">
        <v>19</v>
      </c>
      <c r="AF87" t="s">
        <v>1383</v>
      </c>
      <c r="AH87">
        <v>167.5</v>
      </c>
    </row>
    <row r="88" spans="25:34" x14ac:dyDescent="0.3">
      <c r="Y88" s="19" t="s">
        <v>19</v>
      </c>
      <c r="Z88" t="s">
        <v>24</v>
      </c>
      <c r="AA88">
        <v>341</v>
      </c>
      <c r="AE88" s="19" t="s">
        <v>19</v>
      </c>
      <c r="AF88" t="s">
        <v>24</v>
      </c>
      <c r="AH88">
        <v>16168.7</v>
      </c>
    </row>
    <row r="89" spans="25:34" x14ac:dyDescent="0.3">
      <c r="Y89" s="19" t="s">
        <v>19</v>
      </c>
      <c r="Z89" t="s">
        <v>2204</v>
      </c>
      <c r="AA89">
        <v>13</v>
      </c>
      <c r="AE89" s="19" t="s">
        <v>19</v>
      </c>
      <c r="AF89" t="s">
        <v>2204</v>
      </c>
      <c r="AH89">
        <v>322.40000000000003</v>
      </c>
    </row>
    <row r="90" spans="25:34" x14ac:dyDescent="0.3">
      <c r="Y90" s="19" t="s">
        <v>19</v>
      </c>
      <c r="Z90" t="s">
        <v>437</v>
      </c>
      <c r="AA90">
        <v>31</v>
      </c>
      <c r="AE90" s="19" t="s">
        <v>19</v>
      </c>
      <c r="AF90" t="s">
        <v>437</v>
      </c>
      <c r="AH90">
        <v>2092.8000000000002</v>
      </c>
    </row>
    <row r="91" spans="25:34" x14ac:dyDescent="0.3">
      <c r="Y91" s="19" t="s">
        <v>19</v>
      </c>
      <c r="Z91" t="s">
        <v>28</v>
      </c>
      <c r="AA91">
        <v>279</v>
      </c>
      <c r="AE91" s="19" t="s">
        <v>19</v>
      </c>
      <c r="AF91" t="s">
        <v>28</v>
      </c>
      <c r="AH91">
        <v>12662.500000000002</v>
      </c>
    </row>
    <row r="92" spans="25:34" x14ac:dyDescent="0.3">
      <c r="Y92" s="19" t="s">
        <v>19</v>
      </c>
      <c r="Z92" t="s">
        <v>208</v>
      </c>
      <c r="AA92">
        <v>9</v>
      </c>
      <c r="AE92" s="19" t="s">
        <v>19</v>
      </c>
      <c r="AF92" t="s">
        <v>208</v>
      </c>
      <c r="AH92">
        <v>343.2</v>
      </c>
    </row>
    <row r="93" spans="25:34" x14ac:dyDescent="0.3">
      <c r="Y93" s="19" t="s">
        <v>19</v>
      </c>
      <c r="Z93" t="s">
        <v>587</v>
      </c>
      <c r="AA93">
        <v>49</v>
      </c>
      <c r="AE93" s="19" t="s">
        <v>19</v>
      </c>
      <c r="AF93" t="s">
        <v>587</v>
      </c>
      <c r="AH93">
        <v>2188.2999999999997</v>
      </c>
    </row>
    <row r="94" spans="25:34" x14ac:dyDescent="0.3">
      <c r="Y94" s="19" t="s">
        <v>19</v>
      </c>
      <c r="Z94" t="s">
        <v>331</v>
      </c>
      <c r="AA94">
        <v>59</v>
      </c>
      <c r="AE94" s="19" t="s">
        <v>19</v>
      </c>
      <c r="AF94" t="s">
        <v>331</v>
      </c>
      <c r="AH94">
        <v>2661.5999999999995</v>
      </c>
    </row>
    <row r="95" spans="25:34" x14ac:dyDescent="0.3">
      <c r="Y95" s="19" t="s">
        <v>19</v>
      </c>
      <c r="Z95" t="s">
        <v>86</v>
      </c>
      <c r="AA95">
        <v>8</v>
      </c>
      <c r="AE95" s="19" t="s">
        <v>19</v>
      </c>
      <c r="AF95" t="s">
        <v>86</v>
      </c>
      <c r="AH95">
        <v>887.5</v>
      </c>
    </row>
    <row r="96" spans="25:34" x14ac:dyDescent="0.3">
      <c r="Y96" s="19" t="s">
        <v>19</v>
      </c>
      <c r="Z96" t="s">
        <v>147</v>
      </c>
      <c r="AA96">
        <v>222</v>
      </c>
      <c r="AE96" s="19" t="s">
        <v>19</v>
      </c>
      <c r="AF96" t="s">
        <v>147</v>
      </c>
      <c r="AH96">
        <v>11354.199999999993</v>
      </c>
    </row>
    <row r="97" spans="25:34" x14ac:dyDescent="0.3">
      <c r="Y97" s="19" t="s">
        <v>19</v>
      </c>
      <c r="Z97" t="s">
        <v>334</v>
      </c>
      <c r="AA97">
        <v>36</v>
      </c>
      <c r="AE97" s="19" t="s">
        <v>19</v>
      </c>
      <c r="AF97" t="s">
        <v>334</v>
      </c>
      <c r="AH97">
        <v>1558.4</v>
      </c>
    </row>
    <row r="98" spans="25:34" x14ac:dyDescent="0.3">
      <c r="Y98" s="19" t="s">
        <v>19</v>
      </c>
      <c r="Z98" t="s">
        <v>949</v>
      </c>
      <c r="AA98">
        <v>30</v>
      </c>
      <c r="AE98" s="19" t="s">
        <v>19</v>
      </c>
      <c r="AF98" t="s">
        <v>949</v>
      </c>
      <c r="AH98">
        <v>2223.9</v>
      </c>
    </row>
    <row r="99" spans="25:34" x14ac:dyDescent="0.3">
      <c r="Y99" s="19" t="s">
        <v>19</v>
      </c>
      <c r="Z99" t="s">
        <v>1426</v>
      </c>
      <c r="AA99">
        <v>1</v>
      </c>
      <c r="AE99" s="19" t="s">
        <v>19</v>
      </c>
      <c r="AF99" t="s">
        <v>1426</v>
      </c>
      <c r="AH99">
        <v>26.2</v>
      </c>
    </row>
    <row r="100" spans="25:34" x14ac:dyDescent="0.3">
      <c r="Y100" s="19" t="s">
        <v>19</v>
      </c>
      <c r="Z100" t="s">
        <v>33</v>
      </c>
      <c r="AA100">
        <v>3991</v>
      </c>
      <c r="AE100" s="19" t="s">
        <v>19</v>
      </c>
      <c r="AF100" t="s">
        <v>33</v>
      </c>
      <c r="AH100">
        <v>215551.19999999981</v>
      </c>
    </row>
    <row r="101" spans="25:34" x14ac:dyDescent="0.3">
      <c r="Y101" s="19" t="s">
        <v>19</v>
      </c>
      <c r="Z101" t="s">
        <v>364</v>
      </c>
      <c r="AA101">
        <v>45</v>
      </c>
      <c r="AE101" s="19" t="s">
        <v>19</v>
      </c>
      <c r="AF101" t="s">
        <v>364</v>
      </c>
      <c r="AH101">
        <v>2687.3999999999996</v>
      </c>
    </row>
    <row r="102" spans="25:34" x14ac:dyDescent="0.3">
      <c r="Y102" s="19" t="s">
        <v>19</v>
      </c>
      <c r="Z102" t="s">
        <v>545</v>
      </c>
      <c r="AA102">
        <v>39</v>
      </c>
      <c r="AE102" s="19" t="s">
        <v>19</v>
      </c>
      <c r="AF102" t="s">
        <v>545</v>
      </c>
      <c r="AH102">
        <v>1463.3000000000002</v>
      </c>
    </row>
    <row r="103" spans="25:34" x14ac:dyDescent="0.3">
      <c r="Y103" s="19" t="s">
        <v>19</v>
      </c>
      <c r="Z103" t="s">
        <v>416</v>
      </c>
      <c r="AA103">
        <v>6</v>
      </c>
      <c r="AE103" s="19" t="s">
        <v>19</v>
      </c>
      <c r="AF103" t="s">
        <v>416</v>
      </c>
      <c r="AH103">
        <v>445.79999999999995</v>
      </c>
    </row>
    <row r="104" spans="25:34" x14ac:dyDescent="0.3">
      <c r="Y104" s="19" t="s">
        <v>19</v>
      </c>
      <c r="Z104" t="s">
        <v>258</v>
      </c>
      <c r="AA104">
        <v>9</v>
      </c>
      <c r="AE104" s="19" t="s">
        <v>19</v>
      </c>
      <c r="AF104" t="s">
        <v>258</v>
      </c>
      <c r="AH104">
        <v>273.59999999999997</v>
      </c>
    </row>
    <row r="105" spans="25:34" x14ac:dyDescent="0.3">
      <c r="Y105" s="19" t="s">
        <v>19</v>
      </c>
      <c r="Z105" t="s">
        <v>186</v>
      </c>
      <c r="AA105">
        <v>60</v>
      </c>
      <c r="AE105" s="19" t="s">
        <v>19</v>
      </c>
      <c r="AF105" t="s">
        <v>186</v>
      </c>
      <c r="AH105">
        <v>2690.4</v>
      </c>
    </row>
    <row r="106" spans="25:34" x14ac:dyDescent="0.3">
      <c r="Y106" s="19" t="s">
        <v>19</v>
      </c>
      <c r="Z106" t="s">
        <v>392</v>
      </c>
      <c r="AA106">
        <v>2</v>
      </c>
      <c r="AE106" s="19" t="s">
        <v>19</v>
      </c>
      <c r="AF106" t="s">
        <v>392</v>
      </c>
      <c r="AH106">
        <v>28.4</v>
      </c>
    </row>
    <row r="107" spans="25:34" x14ac:dyDescent="0.3">
      <c r="Y107" s="19" t="s">
        <v>19</v>
      </c>
      <c r="Z107" t="s">
        <v>670</v>
      </c>
      <c r="AA107">
        <v>4</v>
      </c>
      <c r="AE107" s="19" t="s">
        <v>19</v>
      </c>
      <c r="AF107" t="s">
        <v>670</v>
      </c>
      <c r="AH107">
        <v>204.8</v>
      </c>
    </row>
    <row r="108" spans="25:34" x14ac:dyDescent="0.3">
      <c r="Y108" s="19" t="s">
        <v>19</v>
      </c>
      <c r="Z108" t="s">
        <v>802</v>
      </c>
      <c r="AA108">
        <v>31</v>
      </c>
      <c r="AE108" s="19" t="s">
        <v>19</v>
      </c>
      <c r="AF108" t="s">
        <v>802</v>
      </c>
      <c r="AH108">
        <v>1607.8999999999999</v>
      </c>
    </row>
    <row r="109" spans="25:34" x14ac:dyDescent="0.3">
      <c r="Y109" s="19" t="s">
        <v>19</v>
      </c>
      <c r="Z109" t="s">
        <v>98</v>
      </c>
      <c r="AA109">
        <v>88</v>
      </c>
      <c r="AE109" s="19" t="s">
        <v>19</v>
      </c>
      <c r="AF109" t="s">
        <v>98</v>
      </c>
      <c r="AH109">
        <v>6444.9</v>
      </c>
    </row>
    <row r="110" spans="25:34" x14ac:dyDescent="0.3">
      <c r="Y110" s="19" t="s">
        <v>19</v>
      </c>
      <c r="Z110" t="s">
        <v>49</v>
      </c>
      <c r="AA110">
        <v>25</v>
      </c>
      <c r="AE110" s="19" t="s">
        <v>19</v>
      </c>
      <c r="AF110" t="s">
        <v>49</v>
      </c>
      <c r="AH110">
        <v>1809.3</v>
      </c>
    </row>
    <row r="111" spans="25:34" x14ac:dyDescent="0.3">
      <c r="Y111" s="19" t="s">
        <v>19</v>
      </c>
      <c r="Z111" t="s">
        <v>188</v>
      </c>
      <c r="AA111">
        <v>178</v>
      </c>
      <c r="AE111" s="19" t="s">
        <v>19</v>
      </c>
      <c r="AF111" t="s">
        <v>188</v>
      </c>
      <c r="AH111">
        <v>9680.399999999996</v>
      </c>
    </row>
    <row r="112" spans="25:34" x14ac:dyDescent="0.3">
      <c r="Y112" s="19" t="s">
        <v>19</v>
      </c>
      <c r="Z112" t="s">
        <v>52</v>
      </c>
      <c r="AA112">
        <v>141</v>
      </c>
      <c r="AE112" s="19" t="s">
        <v>19</v>
      </c>
      <c r="AF112" t="s">
        <v>52</v>
      </c>
      <c r="AH112">
        <v>9414.7999999999993</v>
      </c>
    </row>
    <row r="113" spans="25:34" x14ac:dyDescent="0.3">
      <c r="Y113" s="19" t="s">
        <v>19</v>
      </c>
      <c r="Z113" t="s">
        <v>338</v>
      </c>
      <c r="AA113">
        <v>6</v>
      </c>
      <c r="AE113" s="19" t="s">
        <v>19</v>
      </c>
      <c r="AF113" t="s">
        <v>338</v>
      </c>
      <c r="AH113">
        <v>206.1</v>
      </c>
    </row>
    <row r="114" spans="25:34" x14ac:dyDescent="0.3">
      <c r="Y114" s="19" t="s">
        <v>19</v>
      </c>
      <c r="Z114" t="s">
        <v>158</v>
      </c>
      <c r="AA114">
        <v>178</v>
      </c>
      <c r="AE114" s="19" t="s">
        <v>19</v>
      </c>
      <c r="AF114" t="s">
        <v>158</v>
      </c>
      <c r="AH114">
        <v>7691.3</v>
      </c>
    </row>
    <row r="115" spans="25:34" x14ac:dyDescent="0.3">
      <c r="Y115" s="19" t="s">
        <v>19</v>
      </c>
      <c r="Z115" t="s">
        <v>55</v>
      </c>
      <c r="AA115">
        <v>699</v>
      </c>
      <c r="AE115" s="19" t="s">
        <v>19</v>
      </c>
      <c r="AF115" t="s">
        <v>55</v>
      </c>
      <c r="AH115">
        <v>37784.900000000016</v>
      </c>
    </row>
    <row r="116" spans="25:34" x14ac:dyDescent="0.3">
      <c r="Y116" s="19" t="s">
        <v>19</v>
      </c>
      <c r="Z116" t="s">
        <v>342</v>
      </c>
      <c r="AA116">
        <v>23</v>
      </c>
      <c r="AE116" s="19" t="s">
        <v>19</v>
      </c>
      <c r="AF116" t="s">
        <v>342</v>
      </c>
      <c r="AH116">
        <v>1129.7</v>
      </c>
    </row>
    <row r="117" spans="25:34" x14ac:dyDescent="0.3">
      <c r="Y117" s="19" t="s">
        <v>19</v>
      </c>
      <c r="Z117" t="s">
        <v>59</v>
      </c>
      <c r="AA117">
        <v>356</v>
      </c>
      <c r="AE117" s="19" t="s">
        <v>19</v>
      </c>
      <c r="AF117" t="s">
        <v>59</v>
      </c>
      <c r="AH117">
        <v>20988.9</v>
      </c>
    </row>
    <row r="118" spans="25:34" x14ac:dyDescent="0.3">
      <c r="Y118" s="19" t="s">
        <v>19</v>
      </c>
      <c r="Z118" t="s">
        <v>62</v>
      </c>
      <c r="AA118">
        <v>1768</v>
      </c>
      <c r="AE118" s="19" t="s">
        <v>19</v>
      </c>
      <c r="AF118" t="s">
        <v>62</v>
      </c>
      <c r="AH118">
        <v>98367.099999999977</v>
      </c>
    </row>
    <row r="119" spans="25:34" x14ac:dyDescent="0.3">
      <c r="Y119" s="19" t="s">
        <v>19</v>
      </c>
      <c r="Z119" t="s">
        <v>103</v>
      </c>
      <c r="AA119">
        <v>307</v>
      </c>
      <c r="AE119" s="19" t="s">
        <v>19</v>
      </c>
      <c r="AF119" t="s">
        <v>103</v>
      </c>
      <c r="AH119">
        <v>21911.9</v>
      </c>
    </row>
    <row r="120" spans="25:34" x14ac:dyDescent="0.3">
      <c r="Y120" s="19" t="s">
        <v>19</v>
      </c>
      <c r="Z120" t="s">
        <v>201</v>
      </c>
      <c r="AA120">
        <v>117</v>
      </c>
      <c r="AE120" s="19" t="s">
        <v>19</v>
      </c>
      <c r="AF120" t="s">
        <v>201</v>
      </c>
      <c r="AH120">
        <v>5441.2</v>
      </c>
    </row>
    <row r="121" spans="25:34" x14ac:dyDescent="0.3">
      <c r="Y121" s="19" t="s">
        <v>19</v>
      </c>
      <c r="Z121" t="s">
        <v>429</v>
      </c>
      <c r="AA121">
        <v>13</v>
      </c>
      <c r="AE121" s="19" t="s">
        <v>19</v>
      </c>
      <c r="AF121" t="s">
        <v>429</v>
      </c>
      <c r="AH121">
        <v>392.8</v>
      </c>
    </row>
    <row r="122" spans="25:34" x14ac:dyDescent="0.3">
      <c r="Y122" s="19" t="s">
        <v>19</v>
      </c>
      <c r="Z122" t="s">
        <v>72</v>
      </c>
      <c r="AA122">
        <v>364</v>
      </c>
      <c r="AE122" s="19" t="s">
        <v>19</v>
      </c>
      <c r="AF122" t="s">
        <v>72</v>
      </c>
      <c r="AH122">
        <v>16172.000000000005</v>
      </c>
    </row>
    <row r="123" spans="25:34" x14ac:dyDescent="0.3">
      <c r="Y123" s="19" t="s">
        <v>19</v>
      </c>
      <c r="Z123" t="s">
        <v>74</v>
      </c>
      <c r="AA123">
        <v>95</v>
      </c>
      <c r="AE123" s="19" t="s">
        <v>19</v>
      </c>
      <c r="AF123" t="s">
        <v>74</v>
      </c>
      <c r="AH123">
        <v>4334.9999999999991</v>
      </c>
    </row>
    <row r="124" spans="25:34" x14ac:dyDescent="0.3">
      <c r="Y124" s="19" t="s">
        <v>19</v>
      </c>
      <c r="Z124" t="s">
        <v>77</v>
      </c>
      <c r="AA124">
        <v>737</v>
      </c>
      <c r="AE124" s="19" t="s">
        <v>19</v>
      </c>
      <c r="AF124" t="s">
        <v>77</v>
      </c>
      <c r="AH124">
        <v>37449.000000000007</v>
      </c>
    </row>
    <row r="125" spans="25:34" x14ac:dyDescent="0.3">
      <c r="Y125" s="19" t="s">
        <v>19</v>
      </c>
      <c r="Z125" t="s">
        <v>309</v>
      </c>
      <c r="AA125">
        <v>39</v>
      </c>
      <c r="AE125" s="19" t="s">
        <v>19</v>
      </c>
      <c r="AF125" t="s">
        <v>309</v>
      </c>
      <c r="AH125">
        <v>2447.5</v>
      </c>
    </row>
    <row r="126" spans="25:34" x14ac:dyDescent="0.3">
      <c r="Y126" s="19" t="s">
        <v>19</v>
      </c>
      <c r="Z126" t="s">
        <v>1116</v>
      </c>
      <c r="AA126">
        <v>56</v>
      </c>
      <c r="AE126" s="19" t="s">
        <v>19</v>
      </c>
      <c r="AF126" t="s">
        <v>1116</v>
      </c>
      <c r="AH126">
        <v>3391.1</v>
      </c>
    </row>
    <row r="127" spans="25:34" x14ac:dyDescent="0.3">
      <c r="Y127" s="19" t="s">
        <v>19</v>
      </c>
      <c r="Z127" t="s">
        <v>700</v>
      </c>
      <c r="AA127">
        <v>2</v>
      </c>
      <c r="AE127" s="19" t="s">
        <v>19</v>
      </c>
      <c r="AF127" t="s">
        <v>700</v>
      </c>
      <c r="AH127">
        <v>30.8</v>
      </c>
    </row>
    <row r="128" spans="25:34" x14ac:dyDescent="0.3">
      <c r="Y128" s="19" t="s">
        <v>19</v>
      </c>
      <c r="Z128" t="s">
        <v>268</v>
      </c>
      <c r="AA128">
        <v>8</v>
      </c>
      <c r="AE128" s="19" t="s">
        <v>19</v>
      </c>
      <c r="AF128" t="s">
        <v>268</v>
      </c>
      <c r="AH128">
        <v>332.3</v>
      </c>
    </row>
    <row r="129" spans="25:34" x14ac:dyDescent="0.3">
      <c r="Y129" s="19" t="s">
        <v>19</v>
      </c>
      <c r="Z129" t="s">
        <v>377</v>
      </c>
      <c r="AA129">
        <v>52</v>
      </c>
      <c r="AE129" s="19" t="s">
        <v>19</v>
      </c>
      <c r="AF129" t="s">
        <v>377</v>
      </c>
      <c r="AH129">
        <v>3175.9999999999995</v>
      </c>
    </row>
    <row r="130" spans="25:34" x14ac:dyDescent="0.3">
      <c r="Y130" s="19" t="s">
        <v>19</v>
      </c>
      <c r="Z130" t="s">
        <v>108</v>
      </c>
      <c r="AA130">
        <v>295</v>
      </c>
      <c r="AE130" s="19" t="s">
        <v>19</v>
      </c>
      <c r="AF130" t="s">
        <v>108</v>
      </c>
      <c r="AH130">
        <v>20939.600000000002</v>
      </c>
    </row>
    <row r="131" spans="25:34" x14ac:dyDescent="0.3">
      <c r="Y131" s="19" t="s">
        <v>19</v>
      </c>
      <c r="Z131" t="s">
        <v>110</v>
      </c>
      <c r="AA131">
        <v>195</v>
      </c>
      <c r="AE131" s="19" t="s">
        <v>19</v>
      </c>
      <c r="AF131" t="s">
        <v>110</v>
      </c>
      <c r="AH131">
        <v>10185.899999999996</v>
      </c>
    </row>
    <row r="132" spans="25:34" x14ac:dyDescent="0.3">
      <c r="Y132" s="19" t="s">
        <v>19</v>
      </c>
      <c r="Z132" t="s">
        <v>292</v>
      </c>
      <c r="AA132">
        <v>20</v>
      </c>
      <c r="AE132" s="19" t="s">
        <v>19</v>
      </c>
      <c r="AF132" t="s">
        <v>292</v>
      </c>
      <c r="AH132">
        <v>958.7</v>
      </c>
    </row>
    <row r="133" spans="25:34" x14ac:dyDescent="0.3">
      <c r="Y133" s="19" t="s">
        <v>19</v>
      </c>
      <c r="Z133" t="s">
        <v>79</v>
      </c>
      <c r="AA133">
        <v>6</v>
      </c>
      <c r="AE133" s="19" t="s">
        <v>19</v>
      </c>
      <c r="AF133" t="s">
        <v>79</v>
      </c>
      <c r="AH133">
        <v>323</v>
      </c>
    </row>
    <row r="134" spans="25:34" x14ac:dyDescent="0.3">
      <c r="Y134" s="19" t="s">
        <v>19</v>
      </c>
      <c r="Z134" t="s">
        <v>608</v>
      </c>
      <c r="AA134">
        <v>5</v>
      </c>
      <c r="AE134" s="19" t="s">
        <v>19</v>
      </c>
      <c r="AF134" t="s">
        <v>608</v>
      </c>
      <c r="AH134">
        <v>167.70000000000002</v>
      </c>
    </row>
    <row r="135" spans="25:34" x14ac:dyDescent="0.3">
      <c r="Y135" s="19" t="s">
        <v>19</v>
      </c>
      <c r="Z135" t="s">
        <v>113</v>
      </c>
      <c r="AA135">
        <v>94</v>
      </c>
      <c r="AE135" s="19" t="s">
        <v>19</v>
      </c>
      <c r="AF135" t="s">
        <v>113</v>
      </c>
      <c r="AH135">
        <v>3978.5</v>
      </c>
    </row>
    <row r="136" spans="25:34" x14ac:dyDescent="0.3">
      <c r="Y136" s="19" t="s">
        <v>19</v>
      </c>
      <c r="Z136" t="s">
        <v>997</v>
      </c>
      <c r="AA136">
        <v>28</v>
      </c>
      <c r="AE136" s="19" t="s">
        <v>19</v>
      </c>
      <c r="AF136" t="s">
        <v>997</v>
      </c>
      <c r="AH136">
        <v>1405</v>
      </c>
    </row>
    <row r="137" spans="25:34" x14ac:dyDescent="0.3">
      <c r="Y137" s="19" t="s">
        <v>19</v>
      </c>
      <c r="Z137" t="s">
        <v>82</v>
      </c>
      <c r="AA137">
        <v>179</v>
      </c>
      <c r="AE137" s="19" t="s">
        <v>19</v>
      </c>
      <c r="AF137" t="s">
        <v>82</v>
      </c>
      <c r="AH137">
        <v>9869.0999999999985</v>
      </c>
    </row>
    <row r="138" spans="25:34" x14ac:dyDescent="0.3">
      <c r="Y138" s="19" t="s">
        <v>19</v>
      </c>
      <c r="Z138" t="s">
        <v>243</v>
      </c>
      <c r="AA138">
        <v>15</v>
      </c>
      <c r="AE138" s="19" t="s">
        <v>19</v>
      </c>
      <c r="AF138" t="s">
        <v>243</v>
      </c>
      <c r="AH138">
        <v>615.29999999999995</v>
      </c>
    </row>
    <row r="139" spans="25:34" x14ac:dyDescent="0.3">
      <c r="Y139" s="20" t="s">
        <v>19</v>
      </c>
      <c r="Z139" t="s">
        <v>1911</v>
      </c>
      <c r="AA139">
        <v>3</v>
      </c>
      <c r="AE139" s="20" t="s">
        <v>19</v>
      </c>
      <c r="AF139" t="s">
        <v>1911</v>
      </c>
      <c r="AH139">
        <v>285</v>
      </c>
    </row>
  </sheetData>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 Board</vt:lpstr>
      <vt:lpstr>Sheet2</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Akhil A K</cp:lastModifiedBy>
  <dcterms:created xsi:type="dcterms:W3CDTF">2025-06-13T02:42:26Z</dcterms:created>
  <dcterms:modified xsi:type="dcterms:W3CDTF">2026-04-18T09:42:39Z</dcterms:modified>
</cp:coreProperties>
</file>